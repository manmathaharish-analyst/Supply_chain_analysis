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h\OneDrive\Desktop\datamites_project\supply chain analysiss\"/>
    </mc:Choice>
  </mc:AlternateContent>
  <xr:revisionPtr revIDLastSave="0" documentId="13_ncr:1_{F21DF78D-BAF7-4304-92F3-5986E8D5E663}" xr6:coauthVersionLast="47" xr6:coauthVersionMax="47" xr10:uidLastSave="{00000000-0000-0000-0000-000000000000}"/>
  <bookViews>
    <workbookView xWindow="-108" yWindow="-108" windowWidth="23256" windowHeight="12456" activeTab="1" xr2:uid="{38C5469A-EE93-4233-8FAB-A0368059DA5C}"/>
  </bookViews>
  <sheets>
    <sheet name="supply chain analysis" sheetId="1" r:id="rId1"/>
    <sheet name="Raw 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3" i="1" l="1"/>
  <c r="AA22" i="1"/>
  <c r="AA21" i="1"/>
  <c r="AA19" i="1"/>
  <c r="AA18" i="1"/>
  <c r="AA17" i="1"/>
  <c r="AA13" i="1"/>
  <c r="AA15" i="1"/>
  <c r="AA14" i="1"/>
  <c r="AA10" i="1"/>
  <c r="AA9" i="1"/>
  <c r="AA8" i="1"/>
  <c r="AA6" i="1"/>
  <c r="AA5" i="1"/>
  <c r="AA4" i="1"/>
</calcChain>
</file>

<file path=xl/sharedStrings.xml><?xml version="1.0" encoding="utf-8"?>
<sst xmlns="http://schemas.openxmlformats.org/spreadsheetml/2006/main" count="1863" uniqueCount="169">
  <si>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</si>
  <si>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</si>
  <si>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</si>
  <si>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</si>
  <si>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</si>
  <si>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</si>
  <si>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</si>
  <si>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</si>
  <si>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</si>
  <si>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</si>
  <si>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</si>
  <si>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</si>
  <si>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</si>
  <si>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</si>
  <si>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</si>
  <si>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</si>
  <si>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</si>
  <si>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</si>
  <si>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</si>
  <si>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</si>
  <si>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</si>
  <si>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</si>
  <si>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</si>
  <si>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</si>
  <si>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</si>
  <si>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</si>
  <si>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</si>
  <si>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</si>
  <si>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</si>
  <si>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</si>
  <si>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</si>
  <si>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</si>
  <si>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</si>
  <si>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</si>
  <si>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</si>
  <si>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</si>
  <si>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</si>
  <si>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</si>
  <si>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</si>
  <si>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</si>
  <si>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</si>
  <si>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</si>
  <si>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</si>
  <si>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</si>
  <si>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</si>
  <si>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</si>
  <si>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</si>
  <si>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</si>
  <si>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</si>
  <si>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</si>
  <si>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</si>
  <si>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</si>
  <si>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</si>
  <si>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</si>
  <si>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</si>
  <si>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</si>
  <si>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</si>
  <si>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</si>
  <si>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</si>
  <si>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</si>
  <si>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</si>
  <si>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</si>
  <si>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</si>
  <si>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</si>
  <si>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</si>
  <si>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</si>
  <si>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</si>
  <si>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</si>
  <si>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</si>
  <si>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</si>
  <si>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</si>
  <si>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</si>
  <si>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</si>
  <si>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</si>
  <si>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</si>
  <si>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</si>
  <si>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</si>
  <si>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</si>
  <si>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</si>
  <si>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</si>
  <si>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</si>
  <si>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</si>
  <si>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</si>
  <si>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</si>
  <si>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</si>
  <si>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</si>
  <si>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</si>
  <si>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</si>
  <si>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</si>
  <si>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</si>
  <si>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</si>
  <si>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</si>
  <si>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</si>
  <si>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</si>
  <si>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</si>
  <si>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</si>
  <si>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</si>
  <si>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</si>
  <si>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</si>
  <si>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</si>
  <si>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</si>
  <si>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</si>
  <si>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</si>
  <si>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</si>
  <si>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</si>
  <si>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</si>
  <si>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</si>
  <si>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</si>
  <si>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</si>
  <si>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</si>
  <si>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</si>
  <si>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</si>
  <si>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</si>
  <si>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</si>
  <si>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</si>
  <si>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</si>
  <si>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</si>
  <si>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</si>
  <si>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</si>
  <si>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</si>
  <si>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</si>
  <si>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</si>
  <si>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</si>
  <si>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</si>
  <si>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</si>
  <si>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</si>
  <si>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</si>
  <si>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</si>
  <si>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</si>
  <si>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</si>
  <si>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</si>
  <si>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</si>
  <si>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</si>
  <si>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</si>
  <si>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</si>
  <si>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</si>
  <si>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</si>
  <si>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</si>
  <si>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</si>
  <si>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</si>
  <si>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</si>
  <si>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</si>
  <si>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</si>
  <si>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</si>
  <si>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</si>
  <si>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</si>
  <si>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</si>
  <si>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</si>
  <si>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</si>
  <si>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</si>
  <si>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</si>
  <si>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</si>
  <si>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</si>
  <si>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</si>
  <si>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Revenue max</t>
  </si>
  <si>
    <t>Revenue min</t>
  </si>
  <si>
    <t>Revenue avg</t>
  </si>
  <si>
    <t>stock min</t>
  </si>
  <si>
    <t>stock max</t>
  </si>
  <si>
    <t>stock avg</t>
  </si>
  <si>
    <t>lead min</t>
  </si>
  <si>
    <t>lead max</t>
  </si>
  <si>
    <t>lead avg</t>
  </si>
  <si>
    <t>defect min</t>
  </si>
  <si>
    <t>defect max</t>
  </si>
  <si>
    <t>defect average</t>
  </si>
  <si>
    <t>min price</t>
  </si>
  <si>
    <t>max price</t>
  </si>
  <si>
    <t>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</si>
</sst>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0" fillId="0" borderId="10" xfId="0" applyFont="1" applyBorder="1"/>
    <xf numFmtId="0" fontId="0" fillId="0" borderId="11" xfId="0" applyFont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0" fillId="34" borderId="12" xfId="0" applyFont="1" applyFill="1" applyBorder="1"/>
    <xf numFmtId="0" fontId="0" fillId="34" borderId="13" xfId="0" applyFont="1" applyFill="1" applyBorder="1"/>
    <xf numFmtId="0" fontId="0" fillId="34" borderId="14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73E48-493E-485F-9A01-DA24D7E5BD39}" name="Table1" displayName="Table1" ref="A1:X101" totalsRowShown="0" headerRowDxfId="0">
  <autoFilter ref="A1:X101" xr:uid="{FA373E48-493E-485F-9A01-DA24D7E5BD39}"/>
  <tableColumns count="24">
    <tableColumn id="1" xr3:uid="{CD769894-977B-4339-A8E0-EE12F867B66D}" name="Product type"/>
    <tableColumn id="2" xr3:uid="{E31EFC08-B448-48C3-A2D5-51633E0877A6}" name="SKU"/>
    <tableColumn id="3" xr3:uid="{325B9F6D-1C6A-45CB-AF47-D8F950D8FF9C}" name="Price"/>
    <tableColumn id="4" xr3:uid="{B5524738-6261-4743-A84D-86B4113901AD}" name="Availability"/>
    <tableColumn id="5" xr3:uid="{BD78AABA-8EBD-4699-9D27-D038EEC80564}" name="Number of products sold"/>
    <tableColumn id="6" xr3:uid="{224D3DEA-1BA8-4AA8-B6A5-4F12E2600D1B}" name="Revenue generated"/>
    <tableColumn id="7" xr3:uid="{8CF51777-A01B-43B0-913E-8655E9FD35A3}" name="Customer demographics"/>
    <tableColumn id="8" xr3:uid="{C570B94C-AE15-45A7-BA01-9E2EA1CEE956}" name="Stock levels"/>
    <tableColumn id="9" xr3:uid="{DA8DE295-41DC-4688-82DD-11032F2AB203}" name="Lead times"/>
    <tableColumn id="10" xr3:uid="{B40C9A1C-92D9-4FF2-83FD-B83A941D72F6}" name="Order quantities"/>
    <tableColumn id="11" xr3:uid="{A4842826-3E1C-42FF-A9E6-C665EBBE18E1}" name="Shipping times"/>
    <tableColumn id="12" xr3:uid="{9D85E387-66EC-4F59-80C0-2DCEB3ADA859}" name="Shipping carriers"/>
    <tableColumn id="13" xr3:uid="{C9E85C45-8DD6-4CF0-89F7-58D7B1F0FC32}" name="Shipping costs"/>
    <tableColumn id="14" xr3:uid="{0096329B-D301-4660-9954-A437458690CC}" name="Supplier name"/>
    <tableColumn id="15" xr3:uid="{E3F095F7-A161-4173-82D3-ADEFD05FA7B8}" name="Location"/>
    <tableColumn id="16" xr3:uid="{E943573C-5888-4CFF-AE8A-8E169E74F7F7}" name="Lead time"/>
    <tableColumn id="17" xr3:uid="{ECCF115C-A9E4-4B89-8053-7EF5A3734C32}" name="Production volumes"/>
    <tableColumn id="18" xr3:uid="{006B217C-40A6-4A94-BA16-B22813A3ADEF}" name="Manufacturing lead time"/>
    <tableColumn id="19" xr3:uid="{17B20770-3D12-432E-BBEB-8559502DCF35}" name="Manufacturing costs"/>
    <tableColumn id="20" xr3:uid="{D188703B-A68B-4304-A340-92C1520D3683}" name="Inspection results"/>
    <tableColumn id="21" xr3:uid="{5CE8F9BE-4AE3-4F80-A331-AAF606311096}" name="Defect rates"/>
    <tableColumn id="22" xr3:uid="{B44052DC-C46B-4147-81BE-4BCD8F64DC76}" name="Transportation modes"/>
    <tableColumn id="23" xr3:uid="{CFD51756-4880-47FD-B433-BE359E0151F4}" name="Routes"/>
    <tableColumn id="24" xr3:uid="{6206183E-612B-42A2-A7DE-4B550B4D82B9}" name="Co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CFB6-D735-460A-9BD5-F7592B7E83A4}">
  <dimension ref="A1:AA101"/>
  <sheetViews>
    <sheetView topLeftCell="N1" zoomScaleNormal="100" workbookViewId="0">
      <selection activeCell="Z4" sqref="Z4"/>
    </sheetView>
  </sheetViews>
  <sheetFormatPr defaultRowHeight="14.4" x14ac:dyDescent="0.3"/>
  <cols>
    <col min="1" max="1" width="14.109375" bestFit="1" customWidth="1"/>
    <col min="2" max="2" width="6.33203125" customWidth="1"/>
    <col min="3" max="3" width="10" bestFit="1" customWidth="1"/>
    <col min="4" max="4" width="12.44140625" bestFit="1" customWidth="1"/>
    <col min="5" max="5" width="24.44140625" bestFit="1" customWidth="1"/>
    <col min="6" max="6" width="19.77734375" bestFit="1" customWidth="1"/>
    <col min="7" max="7" width="24" bestFit="1" customWidth="1"/>
    <col min="8" max="8" width="13" bestFit="1" customWidth="1"/>
    <col min="9" max="9" width="12.21875" bestFit="1" customWidth="1"/>
    <col min="10" max="10" width="16.44140625" customWidth="1"/>
    <col min="11" max="11" width="15.21875" customWidth="1"/>
    <col min="12" max="12" width="16.77734375" customWidth="1"/>
    <col min="13" max="13" width="15.33203125" bestFit="1" customWidth="1"/>
    <col min="14" max="14" width="15.44140625" bestFit="1" customWidth="1"/>
    <col min="15" max="15" width="10.44140625" bestFit="1" customWidth="1"/>
    <col min="16" max="16" width="11.44140625" bestFit="1" customWidth="1"/>
    <col min="17" max="17" width="20.33203125" bestFit="1" customWidth="1"/>
    <col min="18" max="18" width="24.33203125" bestFit="1" customWidth="1"/>
    <col min="19" max="19" width="20.6640625" bestFit="1" customWidth="1"/>
    <col min="20" max="20" width="17.5546875" customWidth="1"/>
    <col min="21" max="21" width="12.88671875" customWidth="1"/>
    <col min="22" max="22" width="21.44140625" customWidth="1"/>
    <col min="23" max="23" width="9" bestFit="1" customWidth="1"/>
    <col min="24" max="24" width="11" bestFit="1" customWidth="1"/>
    <col min="26" max="26" width="11.88671875" bestFit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7" x14ac:dyDescent="0.3">
      <c r="A2" t="s">
        <v>24</v>
      </c>
      <c r="B2" t="s">
        <v>25</v>
      </c>
      <c r="C2">
        <v>69.808006000000006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46.279879000000001</v>
      </c>
      <c r="T2" t="s">
        <v>30</v>
      </c>
      <c r="U2">
        <v>0.22641</v>
      </c>
      <c r="V2" t="s">
        <v>31</v>
      </c>
      <c r="W2" t="s">
        <v>32</v>
      </c>
      <c r="X2">
        <v>187.75207499999999</v>
      </c>
    </row>
    <row r="3" spans="1:27" x14ac:dyDescent="0.3">
      <c r="A3" t="s">
        <v>33</v>
      </c>
      <c r="B3" t="s">
        <v>34</v>
      </c>
      <c r="C3">
        <v>14.843522999999999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9.7165750000000006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33.616768999999998</v>
      </c>
      <c r="T3" t="s">
        <v>30</v>
      </c>
      <c r="U3">
        <v>4.8540679999999998</v>
      </c>
      <c r="V3" t="s">
        <v>31</v>
      </c>
      <c r="W3" t="s">
        <v>32</v>
      </c>
      <c r="X3">
        <v>503.06557900000001</v>
      </c>
    </row>
    <row r="4" spans="1:27" x14ac:dyDescent="0.3">
      <c r="A4" t="s">
        <v>24</v>
      </c>
      <c r="B4" t="s">
        <v>37</v>
      </c>
      <c r="C4">
        <v>11.319682999999999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8.0544790000000006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30.688019000000001</v>
      </c>
      <c r="T4" t="s">
        <v>30</v>
      </c>
      <c r="U4">
        <v>4.5805930000000004</v>
      </c>
      <c r="V4" t="s">
        <v>40</v>
      </c>
      <c r="W4" t="s">
        <v>41</v>
      </c>
      <c r="X4">
        <v>141.92028199999999</v>
      </c>
      <c r="Z4" t="s">
        <v>166</v>
      </c>
      <c r="AA4">
        <f>MIN(Table1[Price])</f>
        <v>1.6999759999999999</v>
      </c>
    </row>
    <row r="5" spans="1:27" x14ac:dyDescent="0.3">
      <c r="A5" t="s">
        <v>33</v>
      </c>
      <c r="B5" t="s">
        <v>42</v>
      </c>
      <c r="C5">
        <v>61.163342999999998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1.7295689999999999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</v>
      </c>
      <c r="T5" t="s">
        <v>46</v>
      </c>
      <c r="U5">
        <v>4.7466489999999997</v>
      </c>
      <c r="V5" t="s">
        <v>47</v>
      </c>
      <c r="W5" t="s">
        <v>48</v>
      </c>
      <c r="X5">
        <v>254.77615900000001</v>
      </c>
      <c r="Z5" t="s">
        <v>167</v>
      </c>
      <c r="AA5">
        <f>MAX(Table1[Price])</f>
        <v>99.171329</v>
      </c>
    </row>
    <row r="6" spans="1:27" x14ac:dyDescent="0.3">
      <c r="A6" t="s">
        <v>33</v>
      </c>
      <c r="B6" t="s">
        <v>49</v>
      </c>
      <c r="C6">
        <v>4.8054959999999998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3.8905479999999999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92.065161000000003</v>
      </c>
      <c r="T6" t="s">
        <v>46</v>
      </c>
      <c r="U6">
        <v>3.1455799999999998</v>
      </c>
      <c r="V6" t="s">
        <v>40</v>
      </c>
      <c r="W6" t="s">
        <v>48</v>
      </c>
      <c r="X6">
        <v>923.44063200000005</v>
      </c>
      <c r="Z6" t="s">
        <v>168</v>
      </c>
      <c r="AA6">
        <f>AVERAGE(C2:C101)</f>
        <v>49.462461340000011</v>
      </c>
    </row>
    <row r="7" spans="1:27" x14ac:dyDescent="0.3">
      <c r="A7" t="s">
        <v>24</v>
      </c>
      <c r="B7" t="s">
        <v>51</v>
      </c>
      <c r="C7">
        <v>1.6999759999999999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4.4440989999999996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56.766475999999997</v>
      </c>
      <c r="T7" t="s">
        <v>46</v>
      </c>
      <c r="U7">
        <v>2.7791939999999999</v>
      </c>
      <c r="V7" t="s">
        <v>31</v>
      </c>
      <c r="W7" t="s">
        <v>48</v>
      </c>
      <c r="X7">
        <v>235.46123700000001</v>
      </c>
    </row>
    <row r="8" spans="1:27" x14ac:dyDescent="0.3">
      <c r="A8" t="s">
        <v>33</v>
      </c>
      <c r="B8" t="s">
        <v>54</v>
      </c>
      <c r="C8">
        <v>4.0783329999999998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1.0850690000000001</v>
      </c>
      <c r="T8" t="s">
        <v>30</v>
      </c>
      <c r="U8">
        <v>1.0009110000000001</v>
      </c>
      <c r="V8" t="s">
        <v>56</v>
      </c>
      <c r="W8" t="s">
        <v>48</v>
      </c>
      <c r="X8">
        <v>134.36909700000001</v>
      </c>
      <c r="Z8" t="s">
        <v>154</v>
      </c>
      <c r="AA8">
        <f>MAX(F2:F101)</f>
        <v>9866.4654580000006</v>
      </c>
    </row>
    <row r="9" spans="1:27" x14ac:dyDescent="0.3">
      <c r="A9" t="s">
        <v>57</v>
      </c>
      <c r="B9" t="s">
        <v>58</v>
      </c>
      <c r="C9">
        <v>42.958384000000002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2.3483390000000002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99.466109000000003</v>
      </c>
      <c r="T9" t="s">
        <v>46</v>
      </c>
      <c r="U9">
        <v>0.398177</v>
      </c>
      <c r="V9" t="s">
        <v>31</v>
      </c>
      <c r="W9" t="s">
        <v>41</v>
      </c>
      <c r="X9">
        <v>802.05631200000005</v>
      </c>
      <c r="Z9" t="s">
        <v>155</v>
      </c>
      <c r="AA9">
        <f>MIN(F2:F101)</f>
        <v>1061.6185230000001</v>
      </c>
    </row>
    <row r="10" spans="1:27" x14ac:dyDescent="0.3">
      <c r="A10" t="s">
        <v>57</v>
      </c>
      <c r="B10" t="s">
        <v>59</v>
      </c>
      <c r="C10">
        <v>68.717596999999998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3.4047339999999999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11.423026999999999</v>
      </c>
      <c r="T10" t="s">
        <v>30</v>
      </c>
      <c r="U10">
        <v>2.7098629999999999</v>
      </c>
      <c r="V10" t="s">
        <v>56</v>
      </c>
      <c r="W10" t="s">
        <v>32</v>
      </c>
      <c r="X10">
        <v>505.55713400000002</v>
      </c>
      <c r="Z10" t="s">
        <v>156</v>
      </c>
      <c r="AA10">
        <f>AVERAGE(F2:F101)</f>
        <v>5776.0481873999997</v>
      </c>
    </row>
    <row r="11" spans="1:27" x14ac:dyDescent="0.3">
      <c r="A11" t="s">
        <v>33</v>
      </c>
      <c r="B11" t="s">
        <v>60</v>
      </c>
      <c r="C11">
        <v>64.015732999999997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7.1666449999999999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47.957602000000001</v>
      </c>
      <c r="T11" t="s">
        <v>30</v>
      </c>
      <c r="U11">
        <v>3.844614</v>
      </c>
      <c r="V11" t="s">
        <v>47</v>
      </c>
      <c r="W11" t="s">
        <v>32</v>
      </c>
      <c r="X11">
        <v>995.92946099999995</v>
      </c>
    </row>
    <row r="12" spans="1:27" x14ac:dyDescent="0.3">
      <c r="A12" t="s">
        <v>33</v>
      </c>
      <c r="B12" t="s">
        <v>63</v>
      </c>
      <c r="C12">
        <v>15.707796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8.6732110000000002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96.527353000000005</v>
      </c>
      <c r="T12" t="s">
        <v>64</v>
      </c>
      <c r="U12">
        <v>1.727314</v>
      </c>
      <c r="V12" t="s">
        <v>31</v>
      </c>
      <c r="W12" t="s">
        <v>32</v>
      </c>
      <c r="X12">
        <v>806.10317799999996</v>
      </c>
    </row>
    <row r="13" spans="1:27" x14ac:dyDescent="0.3">
      <c r="A13" t="s">
        <v>33</v>
      </c>
      <c r="B13" t="s">
        <v>65</v>
      </c>
      <c r="C13">
        <v>90.635459999999995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27.592362999999999</v>
      </c>
      <c r="T13" t="s">
        <v>30</v>
      </c>
      <c r="U13">
        <v>2.1170000000000001E-2</v>
      </c>
      <c r="V13" t="s">
        <v>40</v>
      </c>
      <c r="W13" t="s">
        <v>48</v>
      </c>
      <c r="X13">
        <v>126.723033</v>
      </c>
      <c r="Z13" t="s">
        <v>157</v>
      </c>
      <c r="AA13">
        <f>MIN(H2:H101)</f>
        <v>0</v>
      </c>
    </row>
    <row r="14" spans="1:27" x14ac:dyDescent="0.3">
      <c r="A14" t="s">
        <v>24</v>
      </c>
      <c r="B14" t="s">
        <v>66</v>
      </c>
      <c r="C14">
        <v>71.213389000000006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1.3252740000000001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32.321286000000001</v>
      </c>
      <c r="T14" t="s">
        <v>46</v>
      </c>
      <c r="U14">
        <v>2.161254</v>
      </c>
      <c r="V14" t="s">
        <v>31</v>
      </c>
      <c r="W14" t="s">
        <v>32</v>
      </c>
      <c r="X14">
        <v>402.96878900000002</v>
      </c>
      <c r="Z14" t="s">
        <v>158</v>
      </c>
      <c r="AA14">
        <f>MAX(H2:H101)</f>
        <v>100</v>
      </c>
    </row>
    <row r="15" spans="1:27" x14ac:dyDescent="0.3">
      <c r="A15" t="s">
        <v>33</v>
      </c>
      <c r="B15" t="s">
        <v>67</v>
      </c>
      <c r="C15">
        <v>16.160392999999999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9.5372830000000004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97.829049999999995</v>
      </c>
      <c r="T15" t="s">
        <v>30</v>
      </c>
      <c r="U15">
        <v>1.6310739999999999</v>
      </c>
      <c r="V15" t="s">
        <v>31</v>
      </c>
      <c r="W15" t="s">
        <v>32</v>
      </c>
      <c r="X15">
        <v>547.24100499999997</v>
      </c>
      <c r="Z15" t="s">
        <v>159</v>
      </c>
      <c r="AA15">
        <f>AVERAGE(H2:H101)</f>
        <v>47.77</v>
      </c>
    </row>
    <row r="16" spans="1:27" x14ac:dyDescent="0.3">
      <c r="A16" t="s">
        <v>33</v>
      </c>
      <c r="B16" t="s">
        <v>68</v>
      </c>
      <c r="C16">
        <v>99.171329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2.0397699999999999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5.7914370000000002</v>
      </c>
      <c r="T16" t="s">
        <v>30</v>
      </c>
      <c r="U16">
        <v>0.10068299999999999</v>
      </c>
      <c r="V16" t="s">
        <v>40</v>
      </c>
      <c r="W16" t="s">
        <v>32</v>
      </c>
      <c r="X16">
        <v>929.23528999999996</v>
      </c>
    </row>
    <row r="17" spans="1:27" x14ac:dyDescent="0.3">
      <c r="A17" t="s">
        <v>33</v>
      </c>
      <c r="B17" t="s">
        <v>69</v>
      </c>
      <c r="C17">
        <v>36.989244999999997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2.42204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97.121281999999994</v>
      </c>
      <c r="T17" t="s">
        <v>64</v>
      </c>
      <c r="U17">
        <v>2.2644060000000001</v>
      </c>
      <c r="V17" t="s">
        <v>56</v>
      </c>
      <c r="W17" t="s">
        <v>32</v>
      </c>
      <c r="X17">
        <v>127.8618</v>
      </c>
      <c r="Z17" t="s">
        <v>160</v>
      </c>
      <c r="AA17">
        <f>MIN(I2:I101)</f>
        <v>1</v>
      </c>
    </row>
    <row r="18" spans="1:27" x14ac:dyDescent="0.3">
      <c r="A18" t="s">
        <v>33</v>
      </c>
      <c r="B18" t="s">
        <v>70</v>
      </c>
      <c r="C18">
        <v>7.5471719999999998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4.191325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77.106341999999998</v>
      </c>
      <c r="T18" t="s">
        <v>64</v>
      </c>
      <c r="U18">
        <v>1.0125630000000001</v>
      </c>
      <c r="V18" t="s">
        <v>40</v>
      </c>
      <c r="W18" t="s">
        <v>48</v>
      </c>
      <c r="X18">
        <v>865.52578000000005</v>
      </c>
      <c r="Z18" t="s">
        <v>161</v>
      </c>
      <c r="AA18">
        <f>MAX(I3:I102)</f>
        <v>30</v>
      </c>
    </row>
    <row r="19" spans="1:27" x14ac:dyDescent="0.3">
      <c r="A19" t="s">
        <v>57</v>
      </c>
      <c r="B19" t="s">
        <v>71</v>
      </c>
      <c r="C19">
        <v>81.462534000000005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3.5854189999999999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47.679679999999998</v>
      </c>
      <c r="T19" t="s">
        <v>46</v>
      </c>
      <c r="U19">
        <v>0.102021</v>
      </c>
      <c r="V19" t="s">
        <v>40</v>
      </c>
      <c r="W19" t="s">
        <v>41</v>
      </c>
      <c r="X19">
        <v>670.93439100000001</v>
      </c>
      <c r="Z19" t="s">
        <v>162</v>
      </c>
      <c r="AA19">
        <f>AVERAGE(I4:I103)</f>
        <v>15.908163265306122</v>
      </c>
    </row>
    <row r="20" spans="1:27" x14ac:dyDescent="0.3">
      <c r="A20" t="s">
        <v>24</v>
      </c>
      <c r="B20" t="s">
        <v>72</v>
      </c>
      <c r="C20">
        <v>36.443627999999997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4.3392249999999999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27.107980999999999</v>
      </c>
      <c r="T20" t="s">
        <v>30</v>
      </c>
      <c r="U20">
        <v>2.2319390000000001</v>
      </c>
      <c r="V20" t="s">
        <v>56</v>
      </c>
      <c r="W20" t="s">
        <v>48</v>
      </c>
      <c r="X20">
        <v>593.48025900000005</v>
      </c>
    </row>
    <row r="21" spans="1:27" x14ac:dyDescent="0.3">
      <c r="A21" t="s">
        <v>33</v>
      </c>
      <c r="B21" t="s">
        <v>73</v>
      </c>
      <c r="C21">
        <v>51.123869999999997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4.7426360000000001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82.373321000000004</v>
      </c>
      <c r="T21" t="s">
        <v>46</v>
      </c>
      <c r="U21">
        <v>3.6464509999999999</v>
      </c>
      <c r="V21" t="s">
        <v>31</v>
      </c>
      <c r="W21" t="s">
        <v>41</v>
      </c>
      <c r="X21">
        <v>477.30763100000001</v>
      </c>
      <c r="Z21" t="s">
        <v>163</v>
      </c>
      <c r="AA21">
        <f>MIN(U2:U101)</f>
        <v>1.8608E-2</v>
      </c>
    </row>
    <row r="22" spans="1:27" x14ac:dyDescent="0.3">
      <c r="A22" t="s">
        <v>33</v>
      </c>
      <c r="B22" t="s">
        <v>74</v>
      </c>
      <c r="C22">
        <v>96.341071999999997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8.8783349999999999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65.686260000000004</v>
      </c>
      <c r="T22" t="s">
        <v>64</v>
      </c>
      <c r="U22">
        <v>4.2314170000000004</v>
      </c>
      <c r="V22" t="s">
        <v>40</v>
      </c>
      <c r="W22" t="s">
        <v>32</v>
      </c>
      <c r="X22">
        <v>493.87121500000001</v>
      </c>
      <c r="Z22" t="s">
        <v>164</v>
      </c>
      <c r="AA22">
        <f>MAX(U2:U101)</f>
        <v>4.9392550000000002</v>
      </c>
    </row>
    <row r="23" spans="1:27" x14ac:dyDescent="0.3">
      <c r="A23" t="s">
        <v>57</v>
      </c>
      <c r="B23" t="s">
        <v>75</v>
      </c>
      <c r="C23">
        <v>84.893868999999995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6.037884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61.735728999999999</v>
      </c>
      <c r="T23" t="s">
        <v>30</v>
      </c>
      <c r="U23">
        <v>1.8608E-2</v>
      </c>
      <c r="V23" t="s">
        <v>40</v>
      </c>
      <c r="W23" t="s">
        <v>41</v>
      </c>
      <c r="X23">
        <v>523.36091499999998</v>
      </c>
      <c r="Z23" t="s">
        <v>165</v>
      </c>
      <c r="AA23">
        <f>AVERAGE(U2:U101)</f>
        <v>2.2771580400000002</v>
      </c>
    </row>
    <row r="24" spans="1:27" x14ac:dyDescent="0.3">
      <c r="A24" t="s">
        <v>24</v>
      </c>
      <c r="B24" t="s">
        <v>76</v>
      </c>
      <c r="C24">
        <v>27.679780999999998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9.5676489999999994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50.120840000000001</v>
      </c>
      <c r="T24" t="s">
        <v>46</v>
      </c>
      <c r="U24">
        <v>2.591275</v>
      </c>
      <c r="V24" t="s">
        <v>47</v>
      </c>
      <c r="W24" t="s">
        <v>41</v>
      </c>
      <c r="X24">
        <v>205.57199600000001</v>
      </c>
    </row>
    <row r="25" spans="1:27" x14ac:dyDescent="0.3">
      <c r="A25" t="s">
        <v>57</v>
      </c>
      <c r="B25" t="s">
        <v>77</v>
      </c>
      <c r="C25">
        <v>4.3243410000000004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98.609956999999994</v>
      </c>
      <c r="T25" t="s">
        <v>30</v>
      </c>
      <c r="U25">
        <v>1.342292</v>
      </c>
      <c r="V25" t="s">
        <v>47</v>
      </c>
      <c r="W25" t="s">
        <v>48</v>
      </c>
      <c r="X25">
        <v>196.32944599999999</v>
      </c>
    </row>
    <row r="26" spans="1:27" x14ac:dyDescent="0.3">
      <c r="A26" t="s">
        <v>24</v>
      </c>
      <c r="B26" t="s">
        <v>78</v>
      </c>
      <c r="C26">
        <v>4.1563080000000001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9.7412919999999996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40.382359999999998</v>
      </c>
      <c r="T26" t="s">
        <v>30</v>
      </c>
      <c r="U26">
        <v>3.6913100000000001</v>
      </c>
      <c r="V26" t="s">
        <v>40</v>
      </c>
      <c r="W26" t="s">
        <v>48</v>
      </c>
      <c r="X26">
        <v>758.72477300000003</v>
      </c>
    </row>
    <row r="27" spans="1:27" x14ac:dyDescent="0.3">
      <c r="A27" t="s">
        <v>24</v>
      </c>
      <c r="B27" t="s">
        <v>79</v>
      </c>
      <c r="C27">
        <v>39.629344000000003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2.231074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</v>
      </c>
      <c r="T27" t="s">
        <v>30</v>
      </c>
      <c r="U27">
        <v>3.797231</v>
      </c>
      <c r="V27" t="s">
        <v>31</v>
      </c>
      <c r="W27" t="s">
        <v>32</v>
      </c>
      <c r="X27">
        <v>458.53594600000002</v>
      </c>
    </row>
    <row r="28" spans="1:27" x14ac:dyDescent="0.3">
      <c r="A28" t="s">
        <v>24</v>
      </c>
      <c r="B28" t="s">
        <v>80</v>
      </c>
      <c r="C28">
        <v>97.446946999999994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6.507549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15.97223</v>
      </c>
      <c r="T28" t="s">
        <v>64</v>
      </c>
      <c r="U28">
        <v>2.1193200000000001</v>
      </c>
      <c r="V28" t="s">
        <v>47</v>
      </c>
      <c r="W28" t="s">
        <v>48</v>
      </c>
      <c r="X28">
        <v>617.86691599999995</v>
      </c>
    </row>
    <row r="29" spans="1:27" x14ac:dyDescent="0.3">
      <c r="A29" t="s">
        <v>57</v>
      </c>
      <c r="B29" t="s">
        <v>81</v>
      </c>
      <c r="C29">
        <v>92.557361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7.4067509999999999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</v>
      </c>
      <c r="T29" t="s">
        <v>46</v>
      </c>
      <c r="U29">
        <v>2.864668</v>
      </c>
      <c r="V29" t="s">
        <v>56</v>
      </c>
      <c r="W29" t="s">
        <v>32</v>
      </c>
      <c r="X29">
        <v>762.45918200000006</v>
      </c>
    </row>
    <row r="30" spans="1:27" x14ac:dyDescent="0.3">
      <c r="A30" t="s">
        <v>57</v>
      </c>
      <c r="B30" t="s">
        <v>82</v>
      </c>
      <c r="C30">
        <v>2.397275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9.8981410000000007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59.429381999999997</v>
      </c>
      <c r="T30" t="s">
        <v>46</v>
      </c>
      <c r="U30">
        <v>0.81575699999999995</v>
      </c>
      <c r="V30" t="s">
        <v>40</v>
      </c>
      <c r="W30" t="s">
        <v>48</v>
      </c>
      <c r="X30">
        <v>123.437028</v>
      </c>
    </row>
    <row r="31" spans="1:27" x14ac:dyDescent="0.3">
      <c r="A31" t="s">
        <v>57</v>
      </c>
      <c r="B31" t="s">
        <v>83</v>
      </c>
      <c r="C31">
        <v>63.447558999999998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8.1009729999999998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39.292876</v>
      </c>
      <c r="T31" t="s">
        <v>64</v>
      </c>
      <c r="U31">
        <v>3.8780990000000002</v>
      </c>
      <c r="V31" t="s">
        <v>31</v>
      </c>
      <c r="W31" t="s">
        <v>32</v>
      </c>
      <c r="X31">
        <v>764.93537600000002</v>
      </c>
    </row>
    <row r="32" spans="1:27" x14ac:dyDescent="0.3">
      <c r="A32" t="s">
        <v>24</v>
      </c>
      <c r="B32" t="s">
        <v>84</v>
      </c>
      <c r="C32">
        <v>8.0228590000000004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8.9545279999999998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51.634892999999998</v>
      </c>
      <c r="T32" t="s">
        <v>30</v>
      </c>
      <c r="U32">
        <v>0.965395</v>
      </c>
      <c r="V32" t="s">
        <v>31</v>
      </c>
      <c r="W32" t="s">
        <v>41</v>
      </c>
      <c r="X32">
        <v>880.08098800000005</v>
      </c>
    </row>
    <row r="33" spans="1:24" x14ac:dyDescent="0.3">
      <c r="A33" t="s">
        <v>33</v>
      </c>
      <c r="B33" t="s">
        <v>85</v>
      </c>
      <c r="C33">
        <v>50.847392999999997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2.6796609999999998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60.251145999999999</v>
      </c>
      <c r="T33" t="s">
        <v>30</v>
      </c>
      <c r="U33">
        <v>2.9889999999999999</v>
      </c>
      <c r="V33" t="s">
        <v>47</v>
      </c>
      <c r="W33" t="s">
        <v>41</v>
      </c>
      <c r="X33">
        <v>609.37920699999995</v>
      </c>
    </row>
    <row r="34" spans="1:24" x14ac:dyDescent="0.3">
      <c r="A34" t="s">
        <v>33</v>
      </c>
      <c r="B34" t="s">
        <v>86</v>
      </c>
      <c r="C34">
        <v>79.209935999999999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6.5991049999999998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29.692467000000001</v>
      </c>
      <c r="T34" t="s">
        <v>64</v>
      </c>
      <c r="U34">
        <v>1.9460360000000001</v>
      </c>
      <c r="V34" t="s">
        <v>31</v>
      </c>
      <c r="W34" t="s">
        <v>48</v>
      </c>
      <c r="X34">
        <v>761.17390999999998</v>
      </c>
    </row>
    <row r="35" spans="1:24" x14ac:dyDescent="0.3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4.8582710000000002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23.853428000000001</v>
      </c>
      <c r="T35" t="s">
        <v>46</v>
      </c>
      <c r="U35">
        <v>3.5410460000000001</v>
      </c>
      <c r="V35" t="s">
        <v>56</v>
      </c>
      <c r="W35" t="s">
        <v>48</v>
      </c>
      <c r="X35">
        <v>371.25529599999999</v>
      </c>
    </row>
    <row r="36" spans="1:24" x14ac:dyDescent="0.3">
      <c r="A36" t="s">
        <v>33</v>
      </c>
      <c r="B36" t="s">
        <v>88</v>
      </c>
      <c r="C36">
        <v>37.467592000000003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1.0194879999999999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10.754273</v>
      </c>
      <c r="T36" t="s">
        <v>64</v>
      </c>
      <c r="U36">
        <v>0.64660499999999999</v>
      </c>
      <c r="V36" t="s">
        <v>31</v>
      </c>
      <c r="W36" t="s">
        <v>32</v>
      </c>
      <c r="X36">
        <v>510.358</v>
      </c>
    </row>
    <row r="37" spans="1:24" x14ac:dyDescent="0.3">
      <c r="A37" t="s">
        <v>57</v>
      </c>
      <c r="B37" t="s">
        <v>89</v>
      </c>
      <c r="C37">
        <v>84.957786999999996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5.2881900000000002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</v>
      </c>
      <c r="T37" t="s">
        <v>64</v>
      </c>
      <c r="U37">
        <v>0.54115400000000002</v>
      </c>
      <c r="V37" t="s">
        <v>56</v>
      </c>
      <c r="W37" t="s">
        <v>41</v>
      </c>
      <c r="X37">
        <v>553.42047100000002</v>
      </c>
    </row>
    <row r="38" spans="1:24" x14ac:dyDescent="0.3">
      <c r="A38" t="s">
        <v>33</v>
      </c>
      <c r="B38" t="s">
        <v>90</v>
      </c>
      <c r="C38">
        <v>9.8130030000000001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2.1079509999999999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45.531364000000004</v>
      </c>
      <c r="T38" t="s">
        <v>46</v>
      </c>
      <c r="U38">
        <v>3.8055330000000001</v>
      </c>
      <c r="V38" t="s">
        <v>40</v>
      </c>
      <c r="W38" t="s">
        <v>41</v>
      </c>
      <c r="X38">
        <v>403.80897399999998</v>
      </c>
    </row>
    <row r="39" spans="1:24" x14ac:dyDescent="0.3">
      <c r="A39" t="s">
        <v>33</v>
      </c>
      <c r="B39" t="s">
        <v>91</v>
      </c>
      <c r="C39">
        <v>23.399844999999999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1.5326550000000001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</v>
      </c>
      <c r="T39" t="s">
        <v>30</v>
      </c>
      <c r="U39">
        <v>2.6102880000000002</v>
      </c>
      <c r="V39" t="s">
        <v>56</v>
      </c>
      <c r="W39" t="s">
        <v>48</v>
      </c>
      <c r="X39">
        <v>183.93296799999999</v>
      </c>
    </row>
    <row r="40" spans="1:24" x14ac:dyDescent="0.3">
      <c r="A40" t="s">
        <v>57</v>
      </c>
      <c r="B40" t="s">
        <v>92</v>
      </c>
      <c r="C40">
        <v>52.075930999999997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9.2359310000000008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5.9306939999999999</v>
      </c>
      <c r="T40" t="s">
        <v>30</v>
      </c>
      <c r="U40">
        <v>0.61332699999999996</v>
      </c>
      <c r="V40" t="s">
        <v>40</v>
      </c>
      <c r="W40" t="s">
        <v>32</v>
      </c>
      <c r="X40">
        <v>339.67286999999999</v>
      </c>
    </row>
    <row r="41" spans="1:24" x14ac:dyDescent="0.3">
      <c r="A41" t="s">
        <v>33</v>
      </c>
      <c r="B41" t="s">
        <v>93</v>
      </c>
      <c r="C41">
        <v>19.127476999999999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5.5625039999999997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9.0058070000000008</v>
      </c>
      <c r="T41" t="s">
        <v>46</v>
      </c>
      <c r="U41">
        <v>1.451972</v>
      </c>
      <c r="V41" t="s">
        <v>40</v>
      </c>
      <c r="W41" t="s">
        <v>32</v>
      </c>
      <c r="X41">
        <v>653.67299500000001</v>
      </c>
    </row>
    <row r="42" spans="1:24" x14ac:dyDescent="0.3">
      <c r="A42" t="s">
        <v>33</v>
      </c>
      <c r="B42" t="s">
        <v>94</v>
      </c>
      <c r="C42">
        <v>80.541424000000006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7.2295949999999998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88.179406999999998</v>
      </c>
      <c r="T42" t="s">
        <v>30</v>
      </c>
      <c r="U42">
        <v>4.2132690000000004</v>
      </c>
      <c r="V42" t="s">
        <v>31</v>
      </c>
      <c r="W42" t="s">
        <v>48</v>
      </c>
      <c r="X42">
        <v>529.80872399999998</v>
      </c>
    </row>
    <row r="43" spans="1:24" x14ac:dyDescent="0.3">
      <c r="A43" t="s">
        <v>33</v>
      </c>
      <c r="B43" t="s">
        <v>95</v>
      </c>
      <c r="C43">
        <v>99.113292000000001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5.7732640000000002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95.332065</v>
      </c>
      <c r="T43" t="s">
        <v>46</v>
      </c>
      <c r="U43">
        <v>4.5302000000000002E-2</v>
      </c>
      <c r="V43" t="s">
        <v>56</v>
      </c>
      <c r="W43" t="s">
        <v>48</v>
      </c>
      <c r="X43">
        <v>275.52437099999997</v>
      </c>
    </row>
    <row r="44" spans="1:24" x14ac:dyDescent="0.3">
      <c r="A44" t="s">
        <v>33</v>
      </c>
      <c r="B44" t="s">
        <v>96</v>
      </c>
      <c r="C44">
        <v>46.529167999999999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7.5262479999999998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96.422820999999999</v>
      </c>
      <c r="T44" t="s">
        <v>46</v>
      </c>
      <c r="U44">
        <v>4.9392550000000002</v>
      </c>
      <c r="V44" t="s">
        <v>31</v>
      </c>
      <c r="W44" t="s">
        <v>48</v>
      </c>
      <c r="X44">
        <v>635.65712099999996</v>
      </c>
    </row>
    <row r="45" spans="1:24" x14ac:dyDescent="0.3">
      <c r="A45" t="s">
        <v>24</v>
      </c>
      <c r="B45" t="s">
        <v>97</v>
      </c>
      <c r="C45">
        <v>11.743271999999999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3.6940210000000002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26.277366000000001</v>
      </c>
      <c r="T45" t="s">
        <v>30</v>
      </c>
      <c r="U45">
        <v>0.372305</v>
      </c>
      <c r="V45" t="s">
        <v>40</v>
      </c>
      <c r="W45" t="s">
        <v>48</v>
      </c>
      <c r="X45">
        <v>716.04412000000002</v>
      </c>
    </row>
    <row r="46" spans="1:24" x14ac:dyDescent="0.3">
      <c r="A46" t="s">
        <v>57</v>
      </c>
      <c r="B46" t="s">
        <v>98</v>
      </c>
      <c r="C46">
        <v>51.355791000000004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7.5774499999999998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22.554106999999998</v>
      </c>
      <c r="T46" t="s">
        <v>46</v>
      </c>
      <c r="U46">
        <v>2.9626260000000002</v>
      </c>
      <c r="V46" t="s">
        <v>47</v>
      </c>
      <c r="W46" t="s">
        <v>48</v>
      </c>
      <c r="X46">
        <v>610.45326999999997</v>
      </c>
    </row>
    <row r="47" spans="1:24" x14ac:dyDescent="0.3">
      <c r="A47" t="s">
        <v>24</v>
      </c>
      <c r="B47" t="s">
        <v>99</v>
      </c>
      <c r="C47">
        <v>33.784137999999999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5.2151550000000002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66.312544000000003</v>
      </c>
      <c r="T47" t="s">
        <v>64</v>
      </c>
      <c r="U47">
        <v>3.2196050000000001</v>
      </c>
      <c r="V47" t="s">
        <v>47</v>
      </c>
      <c r="W47" t="s">
        <v>48</v>
      </c>
      <c r="X47">
        <v>495.30569700000001</v>
      </c>
    </row>
    <row r="48" spans="1:24" x14ac:dyDescent="0.3">
      <c r="A48" t="s">
        <v>24</v>
      </c>
      <c r="B48" t="s">
        <v>100</v>
      </c>
      <c r="C48">
        <v>27.082207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4.0709559999999998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77.322353000000007</v>
      </c>
      <c r="T48" t="s">
        <v>30</v>
      </c>
      <c r="U48">
        <v>3.6486109999999998</v>
      </c>
      <c r="V48" t="s">
        <v>31</v>
      </c>
      <c r="W48" t="s">
        <v>32</v>
      </c>
      <c r="X48">
        <v>380.43593700000002</v>
      </c>
    </row>
    <row r="49" spans="1:24" x14ac:dyDescent="0.3">
      <c r="A49" t="s">
        <v>33</v>
      </c>
      <c r="B49" t="s">
        <v>101</v>
      </c>
      <c r="C49">
        <v>95.712136000000001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8.9787510000000008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19.712993000000001</v>
      </c>
      <c r="T49" t="s">
        <v>30</v>
      </c>
      <c r="U49">
        <v>0.38057400000000002</v>
      </c>
      <c r="V49" t="s">
        <v>47</v>
      </c>
      <c r="W49" t="s">
        <v>48</v>
      </c>
      <c r="X49">
        <v>581.60235499999999</v>
      </c>
    </row>
    <row r="50" spans="1:24" x14ac:dyDescent="0.3">
      <c r="A50" t="s">
        <v>24</v>
      </c>
      <c r="B50" t="s">
        <v>102</v>
      </c>
      <c r="C50">
        <v>76.035544000000002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7.0958329999999998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23.126363999999999</v>
      </c>
      <c r="T50" t="s">
        <v>46</v>
      </c>
      <c r="U50">
        <v>1.698113</v>
      </c>
      <c r="V50" t="s">
        <v>47</v>
      </c>
      <c r="W50" t="s">
        <v>32</v>
      </c>
      <c r="X50">
        <v>768.65191400000003</v>
      </c>
    </row>
    <row r="51" spans="1:24" x14ac:dyDescent="0.3">
      <c r="A51" t="s">
        <v>57</v>
      </c>
      <c r="B51" t="s">
        <v>103</v>
      </c>
      <c r="C51">
        <v>78.897913000000003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2.5056210000000001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</v>
      </c>
      <c r="T51" t="s">
        <v>64</v>
      </c>
      <c r="U51">
        <v>2.8258139999999998</v>
      </c>
      <c r="V51" t="s">
        <v>47</v>
      </c>
      <c r="W51" t="s">
        <v>48</v>
      </c>
      <c r="X51">
        <v>336.89016900000001</v>
      </c>
    </row>
    <row r="52" spans="1:24" x14ac:dyDescent="0.3">
      <c r="A52" t="s">
        <v>57</v>
      </c>
      <c r="B52" t="s">
        <v>104</v>
      </c>
      <c r="C52">
        <v>14.203484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6.2478610000000003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45.178758000000002</v>
      </c>
      <c r="T52" t="s">
        <v>46</v>
      </c>
      <c r="U52">
        <v>4.7548009999999996</v>
      </c>
      <c r="V52" t="s">
        <v>47</v>
      </c>
      <c r="W52" t="s">
        <v>32</v>
      </c>
      <c r="X52">
        <v>496.24865</v>
      </c>
    </row>
    <row r="53" spans="1:24" x14ac:dyDescent="0.3">
      <c r="A53" t="s">
        <v>24</v>
      </c>
      <c r="B53" t="s">
        <v>105</v>
      </c>
      <c r="C53">
        <v>26.700761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4.7830009999999996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14.190327999999999</v>
      </c>
      <c r="T53" t="s">
        <v>30</v>
      </c>
      <c r="U53">
        <v>1.7729509999999999</v>
      </c>
      <c r="V53" t="s">
        <v>31</v>
      </c>
      <c r="W53" t="s">
        <v>48</v>
      </c>
      <c r="X53">
        <v>694.98231799999996</v>
      </c>
    </row>
    <row r="54" spans="1:24" x14ac:dyDescent="0.3">
      <c r="A54" t="s">
        <v>33</v>
      </c>
      <c r="B54" t="s">
        <v>106</v>
      </c>
      <c r="C54">
        <v>98.031829999999999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8.6310520000000004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9.1668489999999991</v>
      </c>
      <c r="T54" t="s">
        <v>30</v>
      </c>
      <c r="U54">
        <v>2.1224720000000001</v>
      </c>
      <c r="V54" t="s">
        <v>40</v>
      </c>
      <c r="W54" t="s">
        <v>41</v>
      </c>
      <c r="X54">
        <v>602.89849900000002</v>
      </c>
    </row>
    <row r="55" spans="1:24" x14ac:dyDescent="0.3">
      <c r="A55" t="s">
        <v>33</v>
      </c>
      <c r="B55" t="s">
        <v>107</v>
      </c>
      <c r="C55">
        <v>30.341470999999999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1.013487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83.344059000000001</v>
      </c>
      <c r="T55" t="s">
        <v>30</v>
      </c>
      <c r="U55">
        <v>1.4103479999999999</v>
      </c>
      <c r="V55" t="s">
        <v>40</v>
      </c>
      <c r="W55" t="s">
        <v>32</v>
      </c>
      <c r="X55">
        <v>750.737841</v>
      </c>
    </row>
    <row r="56" spans="1:24" x14ac:dyDescent="0.3">
      <c r="A56" t="s">
        <v>24</v>
      </c>
      <c r="B56" t="s">
        <v>108</v>
      </c>
      <c r="C56">
        <v>31.146242999999998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4.3051029999999999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30.186022999999999</v>
      </c>
      <c r="T56" t="s">
        <v>64</v>
      </c>
      <c r="U56">
        <v>2.4787720000000002</v>
      </c>
      <c r="V56" t="s">
        <v>31</v>
      </c>
      <c r="W56" t="s">
        <v>32</v>
      </c>
      <c r="X56">
        <v>814.06999699999994</v>
      </c>
    </row>
    <row r="57" spans="1:24" x14ac:dyDescent="0.3">
      <c r="A57" t="s">
        <v>24</v>
      </c>
      <c r="B57" t="s">
        <v>109</v>
      </c>
      <c r="C57">
        <v>79.855058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5.0143649999999997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30.323544999999999</v>
      </c>
      <c r="T57" t="s">
        <v>46</v>
      </c>
      <c r="U57">
        <v>4.5489199999999999</v>
      </c>
      <c r="V57" t="s">
        <v>56</v>
      </c>
      <c r="W57" t="s">
        <v>32</v>
      </c>
      <c r="X57">
        <v>323.01292799999999</v>
      </c>
    </row>
    <row r="58" spans="1:24" x14ac:dyDescent="0.3">
      <c r="A58" t="s">
        <v>33</v>
      </c>
      <c r="B58" t="s">
        <v>110</v>
      </c>
      <c r="C58">
        <v>20.986386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12.836285</v>
      </c>
      <c r="T58" t="s">
        <v>64</v>
      </c>
      <c r="U58">
        <v>1.1737550000000001</v>
      </c>
      <c r="V58" t="s">
        <v>40</v>
      </c>
      <c r="W58" t="s">
        <v>32</v>
      </c>
      <c r="X58">
        <v>832.21080900000004</v>
      </c>
    </row>
    <row r="59" spans="1:24" x14ac:dyDescent="0.3">
      <c r="A59" t="s">
        <v>24</v>
      </c>
      <c r="B59" t="s">
        <v>111</v>
      </c>
      <c r="C59">
        <v>49.263204999999999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9.1605589999999992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67.779623000000001</v>
      </c>
      <c r="T59" t="s">
        <v>30</v>
      </c>
      <c r="U59">
        <v>2.5111750000000002</v>
      </c>
      <c r="V59" t="s">
        <v>47</v>
      </c>
      <c r="W59" t="s">
        <v>48</v>
      </c>
      <c r="X59">
        <v>482.191239</v>
      </c>
    </row>
    <row r="60" spans="1:24" x14ac:dyDescent="0.3">
      <c r="A60" t="s">
        <v>33</v>
      </c>
      <c r="B60" t="s">
        <v>112</v>
      </c>
      <c r="C60">
        <v>59.841560999999999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4.9384389999999998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65.047415000000001</v>
      </c>
      <c r="T60" t="s">
        <v>46</v>
      </c>
      <c r="U60">
        <v>1.730375</v>
      </c>
      <c r="V60" t="s">
        <v>31</v>
      </c>
      <c r="W60" t="s">
        <v>32</v>
      </c>
      <c r="X60">
        <v>110.364335</v>
      </c>
    </row>
    <row r="61" spans="1:24" x14ac:dyDescent="0.3">
      <c r="A61" t="s">
        <v>57</v>
      </c>
      <c r="B61" t="s">
        <v>113</v>
      </c>
      <c r="C61">
        <v>63.828398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7.293723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1.9007620000000001</v>
      </c>
      <c r="T61" t="s">
        <v>46</v>
      </c>
      <c r="U61">
        <v>0.44719399999999998</v>
      </c>
      <c r="V61" t="s">
        <v>40</v>
      </c>
      <c r="W61" t="s">
        <v>48</v>
      </c>
      <c r="X61">
        <v>312.574274</v>
      </c>
    </row>
    <row r="62" spans="1:24" x14ac:dyDescent="0.3">
      <c r="A62" t="s">
        <v>33</v>
      </c>
      <c r="B62" t="s">
        <v>114</v>
      </c>
      <c r="C62">
        <v>17.028027999999999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4.3813680000000002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87.213058000000004</v>
      </c>
      <c r="T62" t="s">
        <v>46</v>
      </c>
      <c r="U62">
        <v>2.853091</v>
      </c>
      <c r="V62" t="s">
        <v>47</v>
      </c>
      <c r="W62" t="s">
        <v>48</v>
      </c>
      <c r="X62">
        <v>430.16909700000002</v>
      </c>
    </row>
    <row r="63" spans="1:24" x14ac:dyDescent="0.3">
      <c r="A63" t="s">
        <v>24</v>
      </c>
      <c r="B63" t="s">
        <v>115</v>
      </c>
      <c r="C63">
        <v>52.028750000000002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9.0303400000000007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78.702393999999998</v>
      </c>
      <c r="T63" t="s">
        <v>46</v>
      </c>
      <c r="U63">
        <v>4.3674710000000001</v>
      </c>
      <c r="V63" t="s">
        <v>40</v>
      </c>
      <c r="W63" t="s">
        <v>48</v>
      </c>
      <c r="X63">
        <v>164.36652799999999</v>
      </c>
    </row>
    <row r="64" spans="1:24" x14ac:dyDescent="0.3">
      <c r="A64" t="s">
        <v>57</v>
      </c>
      <c r="B64" t="s">
        <v>116</v>
      </c>
      <c r="C64">
        <v>72.796353999999994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7.2917009999999998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21.048642999999998</v>
      </c>
      <c r="T64" t="s">
        <v>64</v>
      </c>
      <c r="U64">
        <v>1.874001</v>
      </c>
      <c r="V64" t="s">
        <v>56</v>
      </c>
      <c r="W64" t="s">
        <v>41</v>
      </c>
      <c r="X64">
        <v>320.84651600000001</v>
      </c>
    </row>
    <row r="65" spans="1:24" x14ac:dyDescent="0.3">
      <c r="A65" t="s">
        <v>33</v>
      </c>
      <c r="B65" t="s">
        <v>117</v>
      </c>
      <c r="C65">
        <v>13.017377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2.4579339999999998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20.075004</v>
      </c>
      <c r="T65" t="s">
        <v>30</v>
      </c>
      <c r="U65">
        <v>3.6328429999999998</v>
      </c>
      <c r="V65" t="s">
        <v>56</v>
      </c>
      <c r="W65" t="s">
        <v>48</v>
      </c>
      <c r="X65">
        <v>687.28617799999995</v>
      </c>
    </row>
    <row r="66" spans="1:24" x14ac:dyDescent="0.3">
      <c r="A66" t="s">
        <v>33</v>
      </c>
      <c r="B66" t="s">
        <v>118</v>
      </c>
      <c r="C66">
        <v>89.634096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4.5853529999999996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8.6930420000000002</v>
      </c>
      <c r="T66" t="s">
        <v>46</v>
      </c>
      <c r="U66">
        <v>0.15948599999999999</v>
      </c>
      <c r="V66" t="s">
        <v>40</v>
      </c>
      <c r="W66" t="s">
        <v>41</v>
      </c>
      <c r="X66">
        <v>771.22508500000004</v>
      </c>
    </row>
    <row r="67" spans="1:24" x14ac:dyDescent="0.3">
      <c r="A67" t="s">
        <v>33</v>
      </c>
      <c r="B67" t="s">
        <v>119</v>
      </c>
      <c r="C67">
        <v>33.697716999999997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6.5805410000000002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1.5972230000000001</v>
      </c>
      <c r="T67" t="s">
        <v>46</v>
      </c>
      <c r="U67">
        <v>4.9110959999999997</v>
      </c>
      <c r="V67" t="s">
        <v>47</v>
      </c>
      <c r="W67" t="s">
        <v>41</v>
      </c>
      <c r="X67">
        <v>555.859104</v>
      </c>
    </row>
    <row r="68" spans="1:24" x14ac:dyDescent="0.3">
      <c r="A68" t="s">
        <v>33</v>
      </c>
      <c r="B68" t="s">
        <v>120</v>
      </c>
      <c r="C68">
        <v>26.034870000000002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2.2161430000000002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42.084437000000001</v>
      </c>
      <c r="T68" t="s">
        <v>46</v>
      </c>
      <c r="U68">
        <v>3.4480629999999999</v>
      </c>
      <c r="V68" t="s">
        <v>31</v>
      </c>
      <c r="W68" t="s">
        <v>48</v>
      </c>
      <c r="X68">
        <v>393.84334899999999</v>
      </c>
    </row>
    <row r="69" spans="1:24" x14ac:dyDescent="0.3">
      <c r="A69" t="s">
        <v>33</v>
      </c>
      <c r="B69" t="s">
        <v>121</v>
      </c>
      <c r="C69">
        <v>87.755431999999999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9.1478120000000001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7.0578760000000003</v>
      </c>
      <c r="T69" t="s">
        <v>64</v>
      </c>
      <c r="U69">
        <v>0.13195499999999999</v>
      </c>
      <c r="V69" t="s">
        <v>56</v>
      </c>
      <c r="W69" t="s">
        <v>41</v>
      </c>
      <c r="X69">
        <v>169.27180100000001</v>
      </c>
    </row>
    <row r="70" spans="1:24" x14ac:dyDescent="0.3">
      <c r="A70" t="s">
        <v>24</v>
      </c>
      <c r="B70" t="s">
        <v>122</v>
      </c>
      <c r="C70">
        <v>37.931812000000001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1.1942520000000001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97.113581999999994</v>
      </c>
      <c r="T70" t="s">
        <v>46</v>
      </c>
      <c r="U70">
        <v>1.983468</v>
      </c>
      <c r="V70" t="s">
        <v>47</v>
      </c>
      <c r="W70" t="s">
        <v>48</v>
      </c>
      <c r="X70">
        <v>299.70630299999999</v>
      </c>
    </row>
    <row r="71" spans="1:24" x14ac:dyDescent="0.3">
      <c r="A71" t="s">
        <v>33</v>
      </c>
      <c r="B71" t="s">
        <v>123</v>
      </c>
      <c r="C71">
        <v>54.865529000000002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9.7052870000000002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77.627765999999994</v>
      </c>
      <c r="T71" t="s">
        <v>30</v>
      </c>
      <c r="U71">
        <v>1.3623879999999999</v>
      </c>
      <c r="V71" t="s">
        <v>40</v>
      </c>
      <c r="W71" t="s">
        <v>48</v>
      </c>
      <c r="X71">
        <v>207.663206</v>
      </c>
    </row>
    <row r="72" spans="1:24" x14ac:dyDescent="0.3">
      <c r="A72" t="s">
        <v>24</v>
      </c>
      <c r="B72" t="s">
        <v>124</v>
      </c>
      <c r="C72">
        <v>47.914541999999997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6.3157180000000004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11.440782</v>
      </c>
      <c r="T72" t="s">
        <v>64</v>
      </c>
      <c r="U72">
        <v>1.830576</v>
      </c>
      <c r="V72" t="s">
        <v>31</v>
      </c>
      <c r="W72" t="s">
        <v>41</v>
      </c>
      <c r="X72">
        <v>183.272899</v>
      </c>
    </row>
    <row r="73" spans="1:24" x14ac:dyDescent="0.3">
      <c r="A73" t="s">
        <v>57</v>
      </c>
      <c r="B73" t="s">
        <v>125</v>
      </c>
      <c r="C73">
        <v>6.3815330000000001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9.2281899999999997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30.661677000000001</v>
      </c>
      <c r="T73" t="s">
        <v>30</v>
      </c>
      <c r="U73">
        <v>2.078751</v>
      </c>
      <c r="V73" t="s">
        <v>31</v>
      </c>
      <c r="W73" t="s">
        <v>48</v>
      </c>
      <c r="X73">
        <v>405.16706799999997</v>
      </c>
    </row>
    <row r="74" spans="1:24" x14ac:dyDescent="0.3">
      <c r="A74" t="s">
        <v>57</v>
      </c>
      <c r="B74" t="s">
        <v>126</v>
      </c>
      <c r="C74">
        <v>90.204427999999993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6.5996139999999999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55.760492999999997</v>
      </c>
      <c r="T74" t="s">
        <v>30</v>
      </c>
      <c r="U74">
        <v>3.21333</v>
      </c>
      <c r="V74" t="s">
        <v>47</v>
      </c>
      <c r="W74" t="s">
        <v>32</v>
      </c>
      <c r="X74">
        <v>677.94457</v>
      </c>
    </row>
    <row r="75" spans="1:24" x14ac:dyDescent="0.3">
      <c r="A75" t="s">
        <v>57</v>
      </c>
      <c r="B75" t="s">
        <v>127</v>
      </c>
      <c r="C75">
        <v>83.851017999999996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46.870238999999998</v>
      </c>
      <c r="T75" t="s">
        <v>46</v>
      </c>
      <c r="U75">
        <v>4.620546</v>
      </c>
      <c r="V75" t="s">
        <v>31</v>
      </c>
      <c r="W75" t="s">
        <v>48</v>
      </c>
      <c r="X75">
        <v>866.47280000000001</v>
      </c>
    </row>
    <row r="76" spans="1:24" x14ac:dyDescent="0.3">
      <c r="A76" t="s">
        <v>24</v>
      </c>
      <c r="B76" t="s">
        <v>128</v>
      </c>
      <c r="C76">
        <v>3.1700110000000001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5.2376550000000002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80.580851999999993</v>
      </c>
      <c r="T76" t="s">
        <v>46</v>
      </c>
      <c r="U76">
        <v>0.39661299999999999</v>
      </c>
      <c r="V76" t="s">
        <v>47</v>
      </c>
      <c r="W76" t="s">
        <v>48</v>
      </c>
      <c r="X76">
        <v>341.55265700000001</v>
      </c>
    </row>
    <row r="77" spans="1:24" x14ac:dyDescent="0.3">
      <c r="A77" t="s">
        <v>33</v>
      </c>
      <c r="B77" t="s">
        <v>129</v>
      </c>
      <c r="C77">
        <v>92.996883999999994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2.4738980000000002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48.064782999999998</v>
      </c>
      <c r="T77" t="s">
        <v>64</v>
      </c>
      <c r="U77">
        <v>2.0300690000000001</v>
      </c>
      <c r="V77" t="s">
        <v>40</v>
      </c>
      <c r="W77" t="s">
        <v>41</v>
      </c>
      <c r="X77">
        <v>873.12964799999997</v>
      </c>
    </row>
    <row r="78" spans="1:24" x14ac:dyDescent="0.3">
      <c r="A78" t="s">
        <v>24</v>
      </c>
      <c r="B78" t="s">
        <v>130</v>
      </c>
      <c r="C78">
        <v>69.108800000000002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64.323598000000004</v>
      </c>
      <c r="T78" t="s">
        <v>30</v>
      </c>
      <c r="U78">
        <v>2.180037</v>
      </c>
      <c r="V78" t="s">
        <v>47</v>
      </c>
      <c r="W78" t="s">
        <v>48</v>
      </c>
      <c r="X78">
        <v>997.41345000000001</v>
      </c>
    </row>
    <row r="79" spans="1:24" x14ac:dyDescent="0.3">
      <c r="A79" t="s">
        <v>24</v>
      </c>
      <c r="B79" t="s">
        <v>131</v>
      </c>
      <c r="C79">
        <v>57.449742999999998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6.7809470000000003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42.952444999999997</v>
      </c>
      <c r="T79" t="s">
        <v>64</v>
      </c>
      <c r="U79">
        <v>3.055142</v>
      </c>
      <c r="V79" t="s">
        <v>31</v>
      </c>
      <c r="W79" t="s">
        <v>32</v>
      </c>
      <c r="X79">
        <v>852.56809899999996</v>
      </c>
    </row>
    <row r="80" spans="1:24" x14ac:dyDescent="0.3">
      <c r="A80" t="s">
        <v>24</v>
      </c>
      <c r="B80" t="s">
        <v>132</v>
      </c>
      <c r="C80">
        <v>6.306883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8.4670500000000004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71.126514999999998</v>
      </c>
      <c r="T80" t="s">
        <v>30</v>
      </c>
      <c r="U80">
        <v>4.0968809999999998</v>
      </c>
      <c r="V80" t="s">
        <v>56</v>
      </c>
      <c r="W80" t="s">
        <v>41</v>
      </c>
      <c r="X80">
        <v>323.59220299999998</v>
      </c>
    </row>
    <row r="81" spans="1:24" x14ac:dyDescent="0.3">
      <c r="A81" t="s">
        <v>24</v>
      </c>
      <c r="B81" t="s">
        <v>133</v>
      </c>
      <c r="C81">
        <v>57.057031000000002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6.4963249999999997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57.870902999999998</v>
      </c>
      <c r="T81" t="s">
        <v>30</v>
      </c>
      <c r="U81">
        <v>0.16587199999999999</v>
      </c>
      <c r="V81" t="s">
        <v>40</v>
      </c>
      <c r="W81" t="s">
        <v>41</v>
      </c>
      <c r="X81">
        <v>351.50421899999998</v>
      </c>
    </row>
    <row r="82" spans="1:24" x14ac:dyDescent="0.3">
      <c r="A82" t="s">
        <v>33</v>
      </c>
      <c r="B82" t="s">
        <v>134</v>
      </c>
      <c r="C82">
        <v>91.128317999999993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2.8331849999999998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76.961228000000006</v>
      </c>
      <c r="T82" t="s">
        <v>46</v>
      </c>
      <c r="U82">
        <v>2.8496619999999999</v>
      </c>
      <c r="V82" t="s">
        <v>56</v>
      </c>
      <c r="W82" t="s">
        <v>32</v>
      </c>
      <c r="X82">
        <v>787.77985000000001</v>
      </c>
    </row>
    <row r="83" spans="1:24" x14ac:dyDescent="0.3">
      <c r="A83" t="s">
        <v>24</v>
      </c>
      <c r="B83" t="s">
        <v>135</v>
      </c>
      <c r="C83">
        <v>72.819207000000006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4.0662779999999996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19.789593</v>
      </c>
      <c r="T83" t="s">
        <v>30</v>
      </c>
      <c r="U83">
        <v>2.5475469999999998</v>
      </c>
      <c r="V83" t="s">
        <v>47</v>
      </c>
      <c r="W83" t="s">
        <v>32</v>
      </c>
      <c r="X83">
        <v>276.77833600000002</v>
      </c>
    </row>
    <row r="84" spans="1:24" x14ac:dyDescent="0.3">
      <c r="A84" t="s">
        <v>33</v>
      </c>
      <c r="B84" t="s">
        <v>136</v>
      </c>
      <c r="C84">
        <v>17.034931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4.7081819999999999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4.4652779999999996</v>
      </c>
      <c r="T84" t="s">
        <v>30</v>
      </c>
      <c r="U84">
        <v>4.1378769999999996</v>
      </c>
      <c r="V84" t="s">
        <v>31</v>
      </c>
      <c r="W84" t="s">
        <v>41</v>
      </c>
      <c r="X84">
        <v>589.97855600000003</v>
      </c>
    </row>
    <row r="85" spans="1:24" x14ac:dyDescent="0.3">
      <c r="A85" t="s">
        <v>24</v>
      </c>
      <c r="B85" t="s">
        <v>137</v>
      </c>
      <c r="C85">
        <v>68.911246000000006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97.730593999999996</v>
      </c>
      <c r="T85" t="s">
        <v>46</v>
      </c>
      <c r="U85">
        <v>0.77300599999999997</v>
      </c>
      <c r="V85" t="s">
        <v>31</v>
      </c>
      <c r="W85" t="s">
        <v>48</v>
      </c>
      <c r="X85">
        <v>682.97101799999996</v>
      </c>
    </row>
    <row r="86" spans="1:24" x14ac:dyDescent="0.3">
      <c r="A86" t="s">
        <v>24</v>
      </c>
      <c r="B86" t="s">
        <v>138</v>
      </c>
      <c r="C86">
        <v>89.104366999999996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8.3816159999999993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33.808636999999997</v>
      </c>
      <c r="T86" t="s">
        <v>64</v>
      </c>
      <c r="U86">
        <v>4.8434569999999999</v>
      </c>
      <c r="V86" t="s">
        <v>40</v>
      </c>
      <c r="W86" t="s">
        <v>32</v>
      </c>
      <c r="X86">
        <v>465.45700599999998</v>
      </c>
    </row>
    <row r="87" spans="1:24" x14ac:dyDescent="0.3">
      <c r="A87" t="s">
        <v>57</v>
      </c>
      <c r="B87" t="s">
        <v>139</v>
      </c>
      <c r="C87">
        <v>76.962993999999995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8.2491690000000002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69.929345999999995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">
      <c r="A88" t="s">
        <v>33</v>
      </c>
      <c r="B88" t="s">
        <v>140</v>
      </c>
      <c r="C88">
        <v>19.998176999999998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2.0515129999999999</v>
      </c>
      <c r="V88" t="s">
        <v>47</v>
      </c>
      <c r="W88" t="s">
        <v>48</v>
      </c>
      <c r="X88">
        <v>264.25488999999999</v>
      </c>
    </row>
    <row r="89" spans="1:24" x14ac:dyDescent="0.3">
      <c r="A89" t="s">
        <v>24</v>
      </c>
      <c r="B89" t="s">
        <v>141</v>
      </c>
      <c r="C89">
        <v>80.414036999999993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6.5758039999999998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28.696997</v>
      </c>
      <c r="T89" t="s">
        <v>46</v>
      </c>
      <c r="U89">
        <v>3.6937380000000002</v>
      </c>
      <c r="V89" t="s">
        <v>56</v>
      </c>
      <c r="W89" t="s">
        <v>32</v>
      </c>
      <c r="X89">
        <v>879.35921800000006</v>
      </c>
    </row>
    <row r="90" spans="1:24" x14ac:dyDescent="0.3">
      <c r="A90" t="s">
        <v>57</v>
      </c>
      <c r="B90" t="s">
        <v>142</v>
      </c>
      <c r="C90">
        <v>75.270407000000006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68.184918999999994</v>
      </c>
      <c r="T90" t="s">
        <v>30</v>
      </c>
      <c r="U90">
        <v>0.72220399999999996</v>
      </c>
      <c r="V90" t="s">
        <v>56</v>
      </c>
      <c r="W90" t="s">
        <v>48</v>
      </c>
      <c r="X90">
        <v>103.916248</v>
      </c>
    </row>
    <row r="91" spans="1:24" x14ac:dyDescent="0.3">
      <c r="A91" t="s">
        <v>57</v>
      </c>
      <c r="B91" t="s">
        <v>143</v>
      </c>
      <c r="C91">
        <v>97.760086000000001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9.9298160000000006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</v>
      </c>
      <c r="T91" t="s">
        <v>30</v>
      </c>
      <c r="U91">
        <v>1.9076660000000001</v>
      </c>
      <c r="V91" t="s">
        <v>47</v>
      </c>
      <c r="W91" t="s">
        <v>32</v>
      </c>
      <c r="X91">
        <v>517.49997399999995</v>
      </c>
    </row>
    <row r="92" spans="1:24" x14ac:dyDescent="0.3">
      <c r="A92" t="s">
        <v>33</v>
      </c>
      <c r="B92" t="s">
        <v>144</v>
      </c>
      <c r="C92">
        <v>13.881914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7.6744310000000002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85.675962999999996</v>
      </c>
      <c r="T92" t="s">
        <v>64</v>
      </c>
      <c r="U92">
        <v>1.219382</v>
      </c>
      <c r="V92" t="s">
        <v>47</v>
      </c>
      <c r="W92" t="s">
        <v>32</v>
      </c>
      <c r="X92">
        <v>990.07847300000003</v>
      </c>
    </row>
    <row r="93" spans="1:24" x14ac:dyDescent="0.3">
      <c r="A93" t="s">
        <v>57</v>
      </c>
      <c r="B93" t="s">
        <v>145</v>
      </c>
      <c r="C93">
        <v>62.111964999999998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39.772883</v>
      </c>
      <c r="T93" t="s">
        <v>30</v>
      </c>
      <c r="U93">
        <v>0.62600199999999995</v>
      </c>
      <c r="V93" t="s">
        <v>47</v>
      </c>
      <c r="W93" t="s">
        <v>32</v>
      </c>
      <c r="X93">
        <v>996.77831500000002</v>
      </c>
    </row>
    <row r="94" spans="1:24" x14ac:dyDescent="0.3">
      <c r="A94" t="s">
        <v>57</v>
      </c>
      <c r="B94" t="s">
        <v>146</v>
      </c>
      <c r="C94">
        <v>47.714233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62.612690000000001</v>
      </c>
      <c r="T94" t="s">
        <v>64</v>
      </c>
      <c r="U94">
        <v>0.33343200000000001</v>
      </c>
      <c r="V94" t="s">
        <v>47</v>
      </c>
      <c r="W94" t="s">
        <v>32</v>
      </c>
      <c r="X94">
        <v>230.092783</v>
      </c>
    </row>
    <row r="95" spans="1:24" x14ac:dyDescent="0.3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7.0064320000000002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35.633651999999998</v>
      </c>
      <c r="T95" t="s">
        <v>46</v>
      </c>
      <c r="U95">
        <v>4.1657820000000001</v>
      </c>
      <c r="V95" t="s">
        <v>40</v>
      </c>
      <c r="W95" t="s">
        <v>48</v>
      </c>
      <c r="X95">
        <v>823.52384600000005</v>
      </c>
    </row>
    <row r="96" spans="1:24" x14ac:dyDescent="0.3">
      <c r="A96" t="s">
        <v>57</v>
      </c>
      <c r="B96" t="s">
        <v>148</v>
      </c>
      <c r="C96">
        <v>3.0376889999999999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6.9429460000000001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60.387379000000003</v>
      </c>
      <c r="T96" t="s">
        <v>64</v>
      </c>
      <c r="U96">
        <v>1.4636070000000001</v>
      </c>
      <c r="V96" t="s">
        <v>47</v>
      </c>
      <c r="W96" t="s">
        <v>32</v>
      </c>
      <c r="X96">
        <v>846.665257</v>
      </c>
    </row>
    <row r="97" spans="1:24" x14ac:dyDescent="0.3">
      <c r="A97" t="s">
        <v>24</v>
      </c>
      <c r="B97" t="s">
        <v>149</v>
      </c>
      <c r="C97">
        <v>77.903926999999996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8.6303389999999993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58.890686000000002</v>
      </c>
      <c r="T97" t="s">
        <v>30</v>
      </c>
      <c r="U97">
        <v>1.210882</v>
      </c>
      <c r="V97" t="s">
        <v>40</v>
      </c>
      <c r="W97" t="s">
        <v>48</v>
      </c>
      <c r="X97">
        <v>778.86424099999999</v>
      </c>
    </row>
    <row r="98" spans="1:24" x14ac:dyDescent="0.3">
      <c r="A98" t="s">
        <v>57</v>
      </c>
      <c r="B98" t="s">
        <v>150</v>
      </c>
      <c r="C98">
        <v>24.423131000000001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5.3528779999999996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</v>
      </c>
      <c r="T98" t="s">
        <v>30</v>
      </c>
      <c r="U98">
        <v>3.8720479999999999</v>
      </c>
      <c r="V98" t="s">
        <v>31</v>
      </c>
      <c r="W98" t="s">
        <v>48</v>
      </c>
      <c r="X98">
        <v>188.742141</v>
      </c>
    </row>
    <row r="99" spans="1:24" x14ac:dyDescent="0.3">
      <c r="A99" t="s">
        <v>24</v>
      </c>
      <c r="B99" t="s">
        <v>151</v>
      </c>
      <c r="C99">
        <v>3.5261110000000002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7.904846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65.765156000000005</v>
      </c>
      <c r="T99" t="s">
        <v>46</v>
      </c>
      <c r="U99">
        <v>3.3762379999999999</v>
      </c>
      <c r="V99" t="s">
        <v>31</v>
      </c>
      <c r="W99" t="s">
        <v>48</v>
      </c>
      <c r="X99">
        <v>540.13242300000002</v>
      </c>
    </row>
    <row r="100" spans="1:24" x14ac:dyDescent="0.3">
      <c r="A100" t="s">
        <v>33</v>
      </c>
      <c r="B100" t="s">
        <v>152</v>
      </c>
      <c r="C100">
        <v>19.754605000000002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1.4098010000000001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5.6046909999999999</v>
      </c>
      <c r="T100" t="s">
        <v>30</v>
      </c>
      <c r="U100">
        <v>2.9081220000000001</v>
      </c>
      <c r="V100" t="s">
        <v>47</v>
      </c>
      <c r="W100" t="s">
        <v>48</v>
      </c>
      <c r="X100">
        <v>882.19886399999996</v>
      </c>
    </row>
    <row r="101" spans="1:24" x14ac:dyDescent="0.3">
      <c r="A101" t="s">
        <v>24</v>
      </c>
      <c r="B101" t="s">
        <v>153</v>
      </c>
      <c r="C101">
        <v>68.517832999999996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1.311024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38.072899</v>
      </c>
      <c r="T101" t="s">
        <v>46</v>
      </c>
      <c r="U101">
        <v>0.34602699999999997</v>
      </c>
      <c r="V101" t="s">
        <v>47</v>
      </c>
      <c r="W101" t="s">
        <v>32</v>
      </c>
      <c r="X101">
        <v>210.743009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5004-DE4E-4528-AC99-DF18C37C0724}">
  <dimension ref="A1:X101"/>
  <sheetViews>
    <sheetView tabSelected="1" workbookViewId="0">
      <selection activeCell="B1" sqref="B1"/>
    </sheetView>
  </sheetViews>
  <sheetFormatPr defaultRowHeight="14.4" x14ac:dyDescent="0.3"/>
  <cols>
    <col min="1" max="1" width="14.109375" bestFit="1" customWidth="1"/>
    <col min="2" max="2" width="6.33203125" customWidth="1"/>
    <col min="3" max="3" width="10" bestFit="1" customWidth="1"/>
    <col min="4" max="4" width="12.44140625" bestFit="1" customWidth="1"/>
    <col min="5" max="5" width="24.44140625" bestFit="1" customWidth="1"/>
    <col min="6" max="6" width="19.77734375" bestFit="1" customWidth="1"/>
    <col min="7" max="7" width="24" bestFit="1" customWidth="1"/>
    <col min="8" max="8" width="13" bestFit="1" customWidth="1"/>
    <col min="9" max="9" width="12.21875" bestFit="1" customWidth="1"/>
    <col min="10" max="10" width="16.44140625" customWidth="1"/>
    <col min="11" max="11" width="15.21875" customWidth="1"/>
    <col min="12" max="12" width="16.77734375" customWidth="1"/>
    <col min="13" max="13" width="15.33203125" bestFit="1" customWidth="1"/>
    <col min="14" max="14" width="15.44140625" bestFit="1" customWidth="1"/>
    <col min="15" max="15" width="10.44140625" bestFit="1" customWidth="1"/>
    <col min="16" max="16" width="11.44140625" bestFit="1" customWidth="1"/>
    <col min="17" max="17" width="20.33203125" bestFit="1" customWidth="1"/>
    <col min="18" max="18" width="24.33203125" bestFit="1" customWidth="1"/>
    <col min="19" max="19" width="20.6640625" bestFit="1" customWidth="1"/>
    <col min="20" max="20" width="17.5546875" customWidth="1"/>
    <col min="21" max="21" width="12.88671875" customWidth="1"/>
    <col min="22" max="22" width="21.44140625" customWidth="1"/>
    <col min="23" max="23" width="9" bestFit="1" customWidth="1"/>
    <col min="24" max="24" width="11" bestFit="1" customWidth="1"/>
    <col min="26" max="26" width="11.88671875" bestFit="1" customWidth="1"/>
  </cols>
  <sheetData>
    <row r="1" spans="1:24" s="1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</row>
    <row r="2" spans="1:24" x14ac:dyDescent="0.3">
      <c r="A2" s="7" t="s">
        <v>24</v>
      </c>
      <c r="B2" s="8" t="s">
        <v>25</v>
      </c>
      <c r="C2" s="8">
        <v>69.808006000000006</v>
      </c>
      <c r="D2" s="8">
        <v>55</v>
      </c>
      <c r="E2" s="8">
        <v>802</v>
      </c>
      <c r="F2" s="8">
        <v>8661.9967919999999</v>
      </c>
      <c r="G2" s="8" t="s">
        <v>26</v>
      </c>
      <c r="H2" s="8">
        <v>58</v>
      </c>
      <c r="I2" s="8">
        <v>7</v>
      </c>
      <c r="J2" s="8">
        <v>96</v>
      </c>
      <c r="K2" s="8">
        <v>4</v>
      </c>
      <c r="L2" s="8" t="s">
        <v>27</v>
      </c>
      <c r="M2" s="8">
        <v>2.956572</v>
      </c>
      <c r="N2" s="8" t="s">
        <v>28</v>
      </c>
      <c r="O2" s="8" t="s">
        <v>29</v>
      </c>
      <c r="P2" s="8">
        <v>29</v>
      </c>
      <c r="Q2" s="8">
        <v>215</v>
      </c>
      <c r="R2" s="8">
        <v>29</v>
      </c>
      <c r="S2" s="8">
        <v>46.279879000000001</v>
      </c>
      <c r="T2" s="8" t="s">
        <v>30</v>
      </c>
      <c r="U2" s="8">
        <v>0.22641</v>
      </c>
      <c r="V2" s="8" t="s">
        <v>31</v>
      </c>
      <c r="W2" s="8" t="s">
        <v>32</v>
      </c>
      <c r="X2" s="9">
        <v>187.75207499999999</v>
      </c>
    </row>
    <row r="3" spans="1:24" x14ac:dyDescent="0.3">
      <c r="A3" s="10" t="s">
        <v>33</v>
      </c>
      <c r="B3" s="11" t="s">
        <v>34</v>
      </c>
      <c r="C3" s="11">
        <v>14.843522999999999</v>
      </c>
      <c r="D3" s="11">
        <v>95</v>
      </c>
      <c r="E3" s="11">
        <v>736</v>
      </c>
      <c r="F3" s="11">
        <v>7460.9000649999998</v>
      </c>
      <c r="G3" s="11" t="s">
        <v>35</v>
      </c>
      <c r="H3" s="11">
        <v>53</v>
      </c>
      <c r="I3" s="11">
        <v>30</v>
      </c>
      <c r="J3" s="11">
        <v>37</v>
      </c>
      <c r="K3" s="11">
        <v>2</v>
      </c>
      <c r="L3" s="11" t="s">
        <v>36</v>
      </c>
      <c r="M3" s="11">
        <v>9.7165750000000006</v>
      </c>
      <c r="N3" s="11" t="s">
        <v>28</v>
      </c>
      <c r="O3" s="11" t="s">
        <v>29</v>
      </c>
      <c r="P3" s="11">
        <v>23</v>
      </c>
      <c r="Q3" s="11">
        <v>517</v>
      </c>
      <c r="R3" s="11">
        <v>30</v>
      </c>
      <c r="S3" s="11">
        <v>33.616768999999998</v>
      </c>
      <c r="T3" s="11" t="s">
        <v>30</v>
      </c>
      <c r="U3" s="11">
        <v>4.8540679999999998</v>
      </c>
      <c r="V3" s="11" t="s">
        <v>31</v>
      </c>
      <c r="W3" s="11" t="s">
        <v>32</v>
      </c>
      <c r="X3" s="12">
        <v>503.06557900000001</v>
      </c>
    </row>
    <row r="4" spans="1:24" x14ac:dyDescent="0.3">
      <c r="A4" s="7" t="s">
        <v>24</v>
      </c>
      <c r="B4" s="8" t="s">
        <v>37</v>
      </c>
      <c r="C4" s="8">
        <v>11.319682999999999</v>
      </c>
      <c r="D4" s="8">
        <v>34</v>
      </c>
      <c r="E4" s="8">
        <v>8</v>
      </c>
      <c r="F4" s="8">
        <v>9577.7496260000007</v>
      </c>
      <c r="G4" s="8" t="s">
        <v>38</v>
      </c>
      <c r="H4" s="8">
        <v>1</v>
      </c>
      <c r="I4" s="8">
        <v>10</v>
      </c>
      <c r="J4" s="8">
        <v>88</v>
      </c>
      <c r="K4" s="8">
        <v>2</v>
      </c>
      <c r="L4" s="8" t="s">
        <v>27</v>
      </c>
      <c r="M4" s="8">
        <v>8.0544790000000006</v>
      </c>
      <c r="N4" s="8" t="s">
        <v>39</v>
      </c>
      <c r="O4" s="8" t="s">
        <v>29</v>
      </c>
      <c r="P4" s="8">
        <v>12</v>
      </c>
      <c r="Q4" s="8">
        <v>971</v>
      </c>
      <c r="R4" s="8">
        <v>27</v>
      </c>
      <c r="S4" s="8">
        <v>30.688019000000001</v>
      </c>
      <c r="T4" s="8" t="s">
        <v>30</v>
      </c>
      <c r="U4" s="8">
        <v>4.5805930000000004</v>
      </c>
      <c r="V4" s="8" t="s">
        <v>40</v>
      </c>
      <c r="W4" s="8" t="s">
        <v>41</v>
      </c>
      <c r="X4" s="9">
        <v>141.92028199999999</v>
      </c>
    </row>
    <row r="5" spans="1:24" x14ac:dyDescent="0.3">
      <c r="A5" s="10" t="s">
        <v>33</v>
      </c>
      <c r="B5" s="11" t="s">
        <v>42</v>
      </c>
      <c r="C5" s="11">
        <v>61.163342999999998</v>
      </c>
      <c r="D5" s="11">
        <v>68</v>
      </c>
      <c r="E5" s="11">
        <v>83</v>
      </c>
      <c r="F5" s="11">
        <v>7766.8364259999998</v>
      </c>
      <c r="G5" s="11" t="s">
        <v>26</v>
      </c>
      <c r="H5" s="11">
        <v>23</v>
      </c>
      <c r="I5" s="11">
        <v>13</v>
      </c>
      <c r="J5" s="11">
        <v>59</v>
      </c>
      <c r="K5" s="11">
        <v>6</v>
      </c>
      <c r="L5" s="11" t="s">
        <v>43</v>
      </c>
      <c r="M5" s="11">
        <v>1.7295689999999999</v>
      </c>
      <c r="N5" s="11" t="s">
        <v>44</v>
      </c>
      <c r="O5" s="11" t="s">
        <v>45</v>
      </c>
      <c r="P5" s="11">
        <v>24</v>
      </c>
      <c r="Q5" s="11">
        <v>937</v>
      </c>
      <c r="R5" s="11">
        <v>18</v>
      </c>
      <c r="S5" s="11">
        <v>35.624741</v>
      </c>
      <c r="T5" s="11" t="s">
        <v>46</v>
      </c>
      <c r="U5" s="11">
        <v>4.7466489999999997</v>
      </c>
      <c r="V5" s="11" t="s">
        <v>47</v>
      </c>
      <c r="W5" s="11" t="s">
        <v>48</v>
      </c>
      <c r="X5" s="12">
        <v>254.77615900000001</v>
      </c>
    </row>
    <row r="6" spans="1:24" x14ac:dyDescent="0.3">
      <c r="A6" s="7" t="s">
        <v>33</v>
      </c>
      <c r="B6" s="8" t="s">
        <v>49</v>
      </c>
      <c r="C6" s="8">
        <v>4.8054959999999998</v>
      </c>
      <c r="D6" s="8">
        <v>26</v>
      </c>
      <c r="E6" s="8">
        <v>871</v>
      </c>
      <c r="F6" s="8">
        <v>2686.5051520000002</v>
      </c>
      <c r="G6" s="8" t="s">
        <v>26</v>
      </c>
      <c r="H6" s="8">
        <v>5</v>
      </c>
      <c r="I6" s="8">
        <v>3</v>
      </c>
      <c r="J6" s="8">
        <v>56</v>
      </c>
      <c r="K6" s="8">
        <v>8</v>
      </c>
      <c r="L6" s="8" t="s">
        <v>36</v>
      </c>
      <c r="M6" s="8">
        <v>3.8905479999999999</v>
      </c>
      <c r="N6" s="8" t="s">
        <v>39</v>
      </c>
      <c r="O6" s="8" t="s">
        <v>50</v>
      </c>
      <c r="P6" s="8">
        <v>5</v>
      </c>
      <c r="Q6" s="8">
        <v>414</v>
      </c>
      <c r="R6" s="8">
        <v>3</v>
      </c>
      <c r="S6" s="8">
        <v>92.065161000000003</v>
      </c>
      <c r="T6" s="8" t="s">
        <v>46</v>
      </c>
      <c r="U6" s="8">
        <v>3.1455799999999998</v>
      </c>
      <c r="V6" s="8" t="s">
        <v>40</v>
      </c>
      <c r="W6" s="8" t="s">
        <v>48</v>
      </c>
      <c r="X6" s="9">
        <v>923.44063200000005</v>
      </c>
    </row>
    <row r="7" spans="1:24" x14ac:dyDescent="0.3">
      <c r="A7" s="10" t="s">
        <v>24</v>
      </c>
      <c r="B7" s="11" t="s">
        <v>51</v>
      </c>
      <c r="C7" s="11">
        <v>1.6999759999999999</v>
      </c>
      <c r="D7" s="11">
        <v>87</v>
      </c>
      <c r="E7" s="11">
        <v>147</v>
      </c>
      <c r="F7" s="11">
        <v>2828.3487460000001</v>
      </c>
      <c r="G7" s="11" t="s">
        <v>26</v>
      </c>
      <c r="H7" s="11">
        <v>90</v>
      </c>
      <c r="I7" s="11">
        <v>27</v>
      </c>
      <c r="J7" s="11">
        <v>66</v>
      </c>
      <c r="K7" s="11">
        <v>3</v>
      </c>
      <c r="L7" s="11" t="s">
        <v>27</v>
      </c>
      <c r="M7" s="11">
        <v>4.4440989999999996</v>
      </c>
      <c r="N7" s="11" t="s">
        <v>52</v>
      </c>
      <c r="O7" s="11" t="s">
        <v>53</v>
      </c>
      <c r="P7" s="11">
        <v>10</v>
      </c>
      <c r="Q7" s="11">
        <v>104</v>
      </c>
      <c r="R7" s="11">
        <v>17</v>
      </c>
      <c r="S7" s="11">
        <v>56.766475999999997</v>
      </c>
      <c r="T7" s="11" t="s">
        <v>46</v>
      </c>
      <c r="U7" s="11">
        <v>2.7791939999999999</v>
      </c>
      <c r="V7" s="11" t="s">
        <v>31</v>
      </c>
      <c r="W7" s="11" t="s">
        <v>48</v>
      </c>
      <c r="X7" s="12">
        <v>235.46123700000001</v>
      </c>
    </row>
    <row r="8" spans="1:24" x14ac:dyDescent="0.3">
      <c r="A8" s="7" t="s">
        <v>33</v>
      </c>
      <c r="B8" s="8" t="s">
        <v>54</v>
      </c>
      <c r="C8" s="8">
        <v>4.0783329999999998</v>
      </c>
      <c r="D8" s="8">
        <v>48</v>
      </c>
      <c r="E8" s="8">
        <v>65</v>
      </c>
      <c r="F8" s="8">
        <v>7823.4765600000001</v>
      </c>
      <c r="G8" s="8" t="s">
        <v>55</v>
      </c>
      <c r="H8" s="8">
        <v>11</v>
      </c>
      <c r="I8" s="8">
        <v>15</v>
      </c>
      <c r="J8" s="8">
        <v>58</v>
      </c>
      <c r="K8" s="8">
        <v>8</v>
      </c>
      <c r="L8" s="8" t="s">
        <v>43</v>
      </c>
      <c r="M8" s="8">
        <v>3.880763</v>
      </c>
      <c r="N8" s="8" t="s">
        <v>28</v>
      </c>
      <c r="O8" s="8" t="s">
        <v>45</v>
      </c>
      <c r="P8" s="8">
        <v>14</v>
      </c>
      <c r="Q8" s="8">
        <v>314</v>
      </c>
      <c r="R8" s="8">
        <v>24</v>
      </c>
      <c r="S8" s="8">
        <v>1.0850690000000001</v>
      </c>
      <c r="T8" s="8" t="s">
        <v>30</v>
      </c>
      <c r="U8" s="8">
        <v>1.0009110000000001</v>
      </c>
      <c r="V8" s="8" t="s">
        <v>56</v>
      </c>
      <c r="W8" s="8" t="s">
        <v>48</v>
      </c>
      <c r="X8" s="9">
        <v>134.36909700000001</v>
      </c>
    </row>
    <row r="9" spans="1:24" x14ac:dyDescent="0.3">
      <c r="A9" s="10" t="s">
        <v>57</v>
      </c>
      <c r="B9" s="11" t="s">
        <v>58</v>
      </c>
      <c r="C9" s="11">
        <v>42.958384000000002</v>
      </c>
      <c r="D9" s="11">
        <v>59</v>
      </c>
      <c r="E9" s="11">
        <v>426</v>
      </c>
      <c r="F9" s="11">
        <v>8496.1038129999997</v>
      </c>
      <c r="G9" s="11" t="s">
        <v>35</v>
      </c>
      <c r="H9" s="11">
        <v>93</v>
      </c>
      <c r="I9" s="11">
        <v>17</v>
      </c>
      <c r="J9" s="11">
        <v>11</v>
      </c>
      <c r="K9" s="11">
        <v>1</v>
      </c>
      <c r="L9" s="11" t="s">
        <v>27</v>
      </c>
      <c r="M9" s="11">
        <v>2.3483390000000002</v>
      </c>
      <c r="N9" s="11" t="s">
        <v>52</v>
      </c>
      <c r="O9" s="11" t="s">
        <v>53</v>
      </c>
      <c r="P9" s="11">
        <v>22</v>
      </c>
      <c r="Q9" s="11">
        <v>564</v>
      </c>
      <c r="R9" s="11">
        <v>1</v>
      </c>
      <c r="S9" s="11">
        <v>99.466109000000003</v>
      </c>
      <c r="T9" s="11" t="s">
        <v>46</v>
      </c>
      <c r="U9" s="11">
        <v>0.398177</v>
      </c>
      <c r="V9" s="11" t="s">
        <v>31</v>
      </c>
      <c r="W9" s="11" t="s">
        <v>41</v>
      </c>
      <c r="X9" s="12">
        <v>802.05631200000005</v>
      </c>
    </row>
    <row r="10" spans="1:24" x14ac:dyDescent="0.3">
      <c r="A10" s="7" t="s">
        <v>57</v>
      </c>
      <c r="B10" s="8" t="s">
        <v>59</v>
      </c>
      <c r="C10" s="8">
        <v>68.717596999999998</v>
      </c>
      <c r="D10" s="8">
        <v>78</v>
      </c>
      <c r="E10" s="8">
        <v>150</v>
      </c>
      <c r="F10" s="8">
        <v>7517.3632109999999</v>
      </c>
      <c r="G10" s="8" t="s">
        <v>35</v>
      </c>
      <c r="H10" s="8">
        <v>5</v>
      </c>
      <c r="I10" s="8">
        <v>10</v>
      </c>
      <c r="J10" s="8">
        <v>15</v>
      </c>
      <c r="K10" s="8">
        <v>7</v>
      </c>
      <c r="L10" s="8" t="s">
        <v>43</v>
      </c>
      <c r="M10" s="8">
        <v>3.4047339999999999</v>
      </c>
      <c r="N10" s="8" t="s">
        <v>52</v>
      </c>
      <c r="O10" s="8" t="s">
        <v>29</v>
      </c>
      <c r="P10" s="8">
        <v>13</v>
      </c>
      <c r="Q10" s="8">
        <v>769</v>
      </c>
      <c r="R10" s="8">
        <v>8</v>
      </c>
      <c r="S10" s="8">
        <v>11.423026999999999</v>
      </c>
      <c r="T10" s="8" t="s">
        <v>30</v>
      </c>
      <c r="U10" s="8">
        <v>2.7098629999999999</v>
      </c>
      <c r="V10" s="8" t="s">
        <v>56</v>
      </c>
      <c r="W10" s="8" t="s">
        <v>32</v>
      </c>
      <c r="X10" s="9">
        <v>505.55713400000002</v>
      </c>
    </row>
    <row r="11" spans="1:24" x14ac:dyDescent="0.3">
      <c r="A11" s="10" t="s">
        <v>33</v>
      </c>
      <c r="B11" s="11" t="s">
        <v>60</v>
      </c>
      <c r="C11" s="11">
        <v>64.015732999999997</v>
      </c>
      <c r="D11" s="11">
        <v>35</v>
      </c>
      <c r="E11" s="11">
        <v>980</v>
      </c>
      <c r="F11" s="11">
        <v>4971.1459880000002</v>
      </c>
      <c r="G11" s="11" t="s">
        <v>38</v>
      </c>
      <c r="H11" s="11">
        <v>14</v>
      </c>
      <c r="I11" s="11">
        <v>27</v>
      </c>
      <c r="J11" s="11">
        <v>83</v>
      </c>
      <c r="K11" s="11">
        <v>1</v>
      </c>
      <c r="L11" s="11" t="s">
        <v>36</v>
      </c>
      <c r="M11" s="11">
        <v>7.1666449999999999</v>
      </c>
      <c r="N11" s="11" t="s">
        <v>61</v>
      </c>
      <c r="O11" s="11" t="s">
        <v>62</v>
      </c>
      <c r="P11" s="11">
        <v>29</v>
      </c>
      <c r="Q11" s="11">
        <v>963</v>
      </c>
      <c r="R11" s="11">
        <v>23</v>
      </c>
      <c r="S11" s="11">
        <v>47.957602000000001</v>
      </c>
      <c r="T11" s="11" t="s">
        <v>30</v>
      </c>
      <c r="U11" s="11">
        <v>3.844614</v>
      </c>
      <c r="V11" s="11" t="s">
        <v>47</v>
      </c>
      <c r="W11" s="11" t="s">
        <v>32</v>
      </c>
      <c r="X11" s="12">
        <v>995.92946099999995</v>
      </c>
    </row>
    <row r="12" spans="1:24" x14ac:dyDescent="0.3">
      <c r="A12" s="7" t="s">
        <v>33</v>
      </c>
      <c r="B12" s="8" t="s">
        <v>63</v>
      </c>
      <c r="C12" s="8">
        <v>15.707796</v>
      </c>
      <c r="D12" s="8">
        <v>11</v>
      </c>
      <c r="E12" s="8">
        <v>996</v>
      </c>
      <c r="F12" s="8">
        <v>2330.9658020000002</v>
      </c>
      <c r="G12" s="8" t="s">
        <v>26</v>
      </c>
      <c r="H12" s="8">
        <v>51</v>
      </c>
      <c r="I12" s="8">
        <v>13</v>
      </c>
      <c r="J12" s="8">
        <v>80</v>
      </c>
      <c r="K12" s="8">
        <v>2</v>
      </c>
      <c r="L12" s="8" t="s">
        <v>43</v>
      </c>
      <c r="M12" s="8">
        <v>8.6732110000000002</v>
      </c>
      <c r="N12" s="8" t="s">
        <v>44</v>
      </c>
      <c r="O12" s="8" t="s">
        <v>45</v>
      </c>
      <c r="P12" s="8">
        <v>18</v>
      </c>
      <c r="Q12" s="8">
        <v>830</v>
      </c>
      <c r="R12" s="8">
        <v>5</v>
      </c>
      <c r="S12" s="8">
        <v>96.527353000000005</v>
      </c>
      <c r="T12" s="8" t="s">
        <v>64</v>
      </c>
      <c r="U12" s="8">
        <v>1.727314</v>
      </c>
      <c r="V12" s="8" t="s">
        <v>31</v>
      </c>
      <c r="W12" s="8" t="s">
        <v>32</v>
      </c>
      <c r="X12" s="9">
        <v>806.10317799999996</v>
      </c>
    </row>
    <row r="13" spans="1:24" x14ac:dyDescent="0.3">
      <c r="A13" s="10" t="s">
        <v>33</v>
      </c>
      <c r="B13" s="11" t="s">
        <v>65</v>
      </c>
      <c r="C13" s="11">
        <v>90.635459999999995</v>
      </c>
      <c r="D13" s="11">
        <v>95</v>
      </c>
      <c r="E13" s="11">
        <v>960</v>
      </c>
      <c r="F13" s="11">
        <v>6099.9441159999997</v>
      </c>
      <c r="G13" s="11" t="s">
        <v>35</v>
      </c>
      <c r="H13" s="11">
        <v>46</v>
      </c>
      <c r="I13" s="11">
        <v>23</v>
      </c>
      <c r="J13" s="11">
        <v>60</v>
      </c>
      <c r="K13" s="11">
        <v>1</v>
      </c>
      <c r="L13" s="11" t="s">
        <v>36</v>
      </c>
      <c r="M13" s="11">
        <v>4.523943</v>
      </c>
      <c r="N13" s="11" t="s">
        <v>61</v>
      </c>
      <c r="O13" s="11" t="s">
        <v>45</v>
      </c>
      <c r="P13" s="11">
        <v>28</v>
      </c>
      <c r="Q13" s="11">
        <v>362</v>
      </c>
      <c r="R13" s="11">
        <v>11</v>
      </c>
      <c r="S13" s="11">
        <v>27.592362999999999</v>
      </c>
      <c r="T13" s="11" t="s">
        <v>30</v>
      </c>
      <c r="U13" s="11">
        <v>2.1170000000000001E-2</v>
      </c>
      <c r="V13" s="11" t="s">
        <v>40</v>
      </c>
      <c r="W13" s="11" t="s">
        <v>48</v>
      </c>
      <c r="X13" s="12">
        <v>126.723033</v>
      </c>
    </row>
    <row r="14" spans="1:24" x14ac:dyDescent="0.3">
      <c r="A14" s="7" t="s">
        <v>24</v>
      </c>
      <c r="B14" s="8" t="s">
        <v>66</v>
      </c>
      <c r="C14" s="8">
        <v>71.213389000000006</v>
      </c>
      <c r="D14" s="8">
        <v>41</v>
      </c>
      <c r="E14" s="8">
        <v>336</v>
      </c>
      <c r="F14" s="8">
        <v>2873.741446</v>
      </c>
      <c r="G14" s="8" t="s">
        <v>38</v>
      </c>
      <c r="H14" s="8">
        <v>100</v>
      </c>
      <c r="I14" s="8">
        <v>30</v>
      </c>
      <c r="J14" s="8">
        <v>85</v>
      </c>
      <c r="K14" s="8">
        <v>4</v>
      </c>
      <c r="L14" s="8" t="s">
        <v>36</v>
      </c>
      <c r="M14" s="8">
        <v>1.3252740000000001</v>
      </c>
      <c r="N14" s="8" t="s">
        <v>52</v>
      </c>
      <c r="O14" s="8" t="s">
        <v>45</v>
      </c>
      <c r="P14" s="8">
        <v>3</v>
      </c>
      <c r="Q14" s="8">
        <v>563</v>
      </c>
      <c r="R14" s="8">
        <v>3</v>
      </c>
      <c r="S14" s="8">
        <v>32.321286000000001</v>
      </c>
      <c r="T14" s="8" t="s">
        <v>46</v>
      </c>
      <c r="U14" s="8">
        <v>2.161254</v>
      </c>
      <c r="V14" s="8" t="s">
        <v>31</v>
      </c>
      <c r="W14" s="8" t="s">
        <v>32</v>
      </c>
      <c r="X14" s="9">
        <v>402.96878900000002</v>
      </c>
    </row>
    <row r="15" spans="1:24" x14ac:dyDescent="0.3">
      <c r="A15" s="10" t="s">
        <v>33</v>
      </c>
      <c r="B15" s="11" t="s">
        <v>67</v>
      </c>
      <c r="C15" s="11">
        <v>16.160392999999999</v>
      </c>
      <c r="D15" s="11">
        <v>5</v>
      </c>
      <c r="E15" s="11">
        <v>249</v>
      </c>
      <c r="F15" s="11">
        <v>4052.7384160000001</v>
      </c>
      <c r="G15" s="11" t="s">
        <v>55</v>
      </c>
      <c r="H15" s="11">
        <v>80</v>
      </c>
      <c r="I15" s="11">
        <v>8</v>
      </c>
      <c r="J15" s="11">
        <v>48</v>
      </c>
      <c r="K15" s="11">
        <v>9</v>
      </c>
      <c r="L15" s="11" t="s">
        <v>36</v>
      </c>
      <c r="M15" s="11">
        <v>9.5372830000000004</v>
      </c>
      <c r="N15" s="11" t="s">
        <v>44</v>
      </c>
      <c r="O15" s="11" t="s">
        <v>53</v>
      </c>
      <c r="P15" s="11">
        <v>23</v>
      </c>
      <c r="Q15" s="11">
        <v>173</v>
      </c>
      <c r="R15" s="11">
        <v>10</v>
      </c>
      <c r="S15" s="11">
        <v>97.829049999999995</v>
      </c>
      <c r="T15" s="11" t="s">
        <v>30</v>
      </c>
      <c r="U15" s="11">
        <v>1.6310739999999999</v>
      </c>
      <c r="V15" s="11" t="s">
        <v>31</v>
      </c>
      <c r="W15" s="11" t="s">
        <v>32</v>
      </c>
      <c r="X15" s="12">
        <v>547.24100499999997</v>
      </c>
    </row>
    <row r="16" spans="1:24" x14ac:dyDescent="0.3">
      <c r="A16" s="7" t="s">
        <v>33</v>
      </c>
      <c r="B16" s="8" t="s">
        <v>68</v>
      </c>
      <c r="C16" s="8">
        <v>99.171329</v>
      </c>
      <c r="D16" s="8">
        <v>26</v>
      </c>
      <c r="E16" s="8">
        <v>562</v>
      </c>
      <c r="F16" s="8">
        <v>8653.5709260000003</v>
      </c>
      <c r="G16" s="8" t="s">
        <v>26</v>
      </c>
      <c r="H16" s="8">
        <v>54</v>
      </c>
      <c r="I16" s="8">
        <v>29</v>
      </c>
      <c r="J16" s="8">
        <v>78</v>
      </c>
      <c r="K16" s="8">
        <v>5</v>
      </c>
      <c r="L16" s="8" t="s">
        <v>27</v>
      </c>
      <c r="M16" s="8">
        <v>2.0397699999999999</v>
      </c>
      <c r="N16" s="8" t="s">
        <v>39</v>
      </c>
      <c r="O16" s="8" t="s">
        <v>45</v>
      </c>
      <c r="P16" s="8">
        <v>25</v>
      </c>
      <c r="Q16" s="8">
        <v>558</v>
      </c>
      <c r="R16" s="8">
        <v>14</v>
      </c>
      <c r="S16" s="8">
        <v>5.7914370000000002</v>
      </c>
      <c r="T16" s="8" t="s">
        <v>30</v>
      </c>
      <c r="U16" s="8">
        <v>0.10068299999999999</v>
      </c>
      <c r="V16" s="8" t="s">
        <v>40</v>
      </c>
      <c r="W16" s="8" t="s">
        <v>32</v>
      </c>
      <c r="X16" s="9">
        <v>929.23528999999996</v>
      </c>
    </row>
    <row r="17" spans="1:24" x14ac:dyDescent="0.3">
      <c r="A17" s="10" t="s">
        <v>33</v>
      </c>
      <c r="B17" s="11" t="s">
        <v>69</v>
      </c>
      <c r="C17" s="11">
        <v>36.989244999999997</v>
      </c>
      <c r="D17" s="11">
        <v>94</v>
      </c>
      <c r="E17" s="11">
        <v>469</v>
      </c>
      <c r="F17" s="11">
        <v>5442.0867850000004</v>
      </c>
      <c r="G17" s="11" t="s">
        <v>26</v>
      </c>
      <c r="H17" s="11">
        <v>9</v>
      </c>
      <c r="I17" s="11">
        <v>8</v>
      </c>
      <c r="J17" s="11">
        <v>69</v>
      </c>
      <c r="K17" s="11">
        <v>7</v>
      </c>
      <c r="L17" s="11" t="s">
        <v>27</v>
      </c>
      <c r="M17" s="11">
        <v>2.42204</v>
      </c>
      <c r="N17" s="11" t="s">
        <v>39</v>
      </c>
      <c r="O17" s="11" t="s">
        <v>53</v>
      </c>
      <c r="P17" s="11">
        <v>14</v>
      </c>
      <c r="Q17" s="11">
        <v>580</v>
      </c>
      <c r="R17" s="11">
        <v>7</v>
      </c>
      <c r="S17" s="11">
        <v>97.121281999999994</v>
      </c>
      <c r="T17" s="11" t="s">
        <v>64</v>
      </c>
      <c r="U17" s="11">
        <v>2.2644060000000001</v>
      </c>
      <c r="V17" s="11" t="s">
        <v>56</v>
      </c>
      <c r="W17" s="11" t="s">
        <v>32</v>
      </c>
      <c r="X17" s="12">
        <v>127.8618</v>
      </c>
    </row>
    <row r="18" spans="1:24" x14ac:dyDescent="0.3">
      <c r="A18" s="7" t="s">
        <v>33</v>
      </c>
      <c r="B18" s="8" t="s">
        <v>70</v>
      </c>
      <c r="C18" s="8">
        <v>7.5471719999999998</v>
      </c>
      <c r="D18" s="8">
        <v>74</v>
      </c>
      <c r="E18" s="8">
        <v>280</v>
      </c>
      <c r="F18" s="8">
        <v>6453.7979679999999</v>
      </c>
      <c r="G18" s="8" t="s">
        <v>35</v>
      </c>
      <c r="H18" s="8">
        <v>2</v>
      </c>
      <c r="I18" s="8">
        <v>5</v>
      </c>
      <c r="J18" s="8">
        <v>78</v>
      </c>
      <c r="K18" s="8">
        <v>1</v>
      </c>
      <c r="L18" s="8" t="s">
        <v>27</v>
      </c>
      <c r="M18" s="8">
        <v>4.191325</v>
      </c>
      <c r="N18" s="8" t="s">
        <v>39</v>
      </c>
      <c r="O18" s="8" t="s">
        <v>53</v>
      </c>
      <c r="P18" s="8">
        <v>3</v>
      </c>
      <c r="Q18" s="8">
        <v>399</v>
      </c>
      <c r="R18" s="8">
        <v>21</v>
      </c>
      <c r="S18" s="8">
        <v>77.106341999999998</v>
      </c>
      <c r="T18" s="8" t="s">
        <v>64</v>
      </c>
      <c r="U18" s="8">
        <v>1.0125630000000001</v>
      </c>
      <c r="V18" s="8" t="s">
        <v>40</v>
      </c>
      <c r="W18" s="8" t="s">
        <v>48</v>
      </c>
      <c r="X18" s="9">
        <v>865.52578000000005</v>
      </c>
    </row>
    <row r="19" spans="1:24" x14ac:dyDescent="0.3">
      <c r="A19" s="10" t="s">
        <v>57</v>
      </c>
      <c r="B19" s="11" t="s">
        <v>71</v>
      </c>
      <c r="C19" s="11">
        <v>81.462534000000005</v>
      </c>
      <c r="D19" s="11">
        <v>82</v>
      </c>
      <c r="E19" s="11">
        <v>126</v>
      </c>
      <c r="F19" s="11">
        <v>2629.3964350000001</v>
      </c>
      <c r="G19" s="11" t="s">
        <v>35</v>
      </c>
      <c r="H19" s="11">
        <v>45</v>
      </c>
      <c r="I19" s="11">
        <v>17</v>
      </c>
      <c r="J19" s="11">
        <v>85</v>
      </c>
      <c r="K19" s="11">
        <v>9</v>
      </c>
      <c r="L19" s="11" t="s">
        <v>43</v>
      </c>
      <c r="M19" s="11">
        <v>3.5854189999999999</v>
      </c>
      <c r="N19" s="11" t="s">
        <v>39</v>
      </c>
      <c r="O19" s="11" t="s">
        <v>62</v>
      </c>
      <c r="P19" s="11">
        <v>7</v>
      </c>
      <c r="Q19" s="11">
        <v>453</v>
      </c>
      <c r="R19" s="11">
        <v>16</v>
      </c>
      <c r="S19" s="11">
        <v>47.679679999999998</v>
      </c>
      <c r="T19" s="11" t="s">
        <v>46</v>
      </c>
      <c r="U19" s="11">
        <v>0.102021</v>
      </c>
      <c r="V19" s="11" t="s">
        <v>40</v>
      </c>
      <c r="W19" s="11" t="s">
        <v>41</v>
      </c>
      <c r="X19" s="12">
        <v>670.93439100000001</v>
      </c>
    </row>
    <row r="20" spans="1:24" x14ac:dyDescent="0.3">
      <c r="A20" s="7" t="s">
        <v>24</v>
      </c>
      <c r="B20" s="8" t="s">
        <v>72</v>
      </c>
      <c r="C20" s="8">
        <v>36.443627999999997</v>
      </c>
      <c r="D20" s="8">
        <v>23</v>
      </c>
      <c r="E20" s="8">
        <v>620</v>
      </c>
      <c r="F20" s="8">
        <v>9364.6735050000007</v>
      </c>
      <c r="G20" s="8" t="s">
        <v>38</v>
      </c>
      <c r="H20" s="8">
        <v>10</v>
      </c>
      <c r="I20" s="8">
        <v>10</v>
      </c>
      <c r="J20" s="8">
        <v>46</v>
      </c>
      <c r="K20" s="8">
        <v>8</v>
      </c>
      <c r="L20" s="8" t="s">
        <v>43</v>
      </c>
      <c r="M20" s="8">
        <v>4.3392249999999999</v>
      </c>
      <c r="N20" s="8" t="s">
        <v>61</v>
      </c>
      <c r="O20" s="8" t="s">
        <v>45</v>
      </c>
      <c r="P20" s="8">
        <v>18</v>
      </c>
      <c r="Q20" s="8">
        <v>374</v>
      </c>
      <c r="R20" s="8">
        <v>17</v>
      </c>
      <c r="S20" s="8">
        <v>27.107980999999999</v>
      </c>
      <c r="T20" s="8" t="s">
        <v>30</v>
      </c>
      <c r="U20" s="8">
        <v>2.2319390000000001</v>
      </c>
      <c r="V20" s="8" t="s">
        <v>56</v>
      </c>
      <c r="W20" s="8" t="s">
        <v>48</v>
      </c>
      <c r="X20" s="9">
        <v>593.48025900000005</v>
      </c>
    </row>
    <row r="21" spans="1:24" x14ac:dyDescent="0.3">
      <c r="A21" s="10" t="s">
        <v>33</v>
      </c>
      <c r="B21" s="11" t="s">
        <v>73</v>
      </c>
      <c r="C21" s="11">
        <v>51.123869999999997</v>
      </c>
      <c r="D21" s="11">
        <v>100</v>
      </c>
      <c r="E21" s="11">
        <v>187</v>
      </c>
      <c r="F21" s="11">
        <v>2553.4955850000001</v>
      </c>
      <c r="G21" s="11" t="s">
        <v>38</v>
      </c>
      <c r="H21" s="11">
        <v>48</v>
      </c>
      <c r="I21" s="11">
        <v>11</v>
      </c>
      <c r="J21" s="11">
        <v>94</v>
      </c>
      <c r="K21" s="11">
        <v>3</v>
      </c>
      <c r="L21" s="11" t="s">
        <v>36</v>
      </c>
      <c r="M21" s="11">
        <v>4.7426360000000001</v>
      </c>
      <c r="N21" s="11" t="s">
        <v>52</v>
      </c>
      <c r="O21" s="11" t="s">
        <v>62</v>
      </c>
      <c r="P21" s="11">
        <v>20</v>
      </c>
      <c r="Q21" s="11">
        <v>694</v>
      </c>
      <c r="R21" s="11">
        <v>16</v>
      </c>
      <c r="S21" s="11">
        <v>82.373321000000004</v>
      </c>
      <c r="T21" s="11" t="s">
        <v>46</v>
      </c>
      <c r="U21" s="11">
        <v>3.6464509999999999</v>
      </c>
      <c r="V21" s="11" t="s">
        <v>31</v>
      </c>
      <c r="W21" s="11" t="s">
        <v>41</v>
      </c>
      <c r="X21" s="12">
        <v>477.30763100000001</v>
      </c>
    </row>
    <row r="22" spans="1:24" x14ac:dyDescent="0.3">
      <c r="A22" s="7" t="s">
        <v>33</v>
      </c>
      <c r="B22" s="8" t="s">
        <v>74</v>
      </c>
      <c r="C22" s="8">
        <v>96.341071999999997</v>
      </c>
      <c r="D22" s="8">
        <v>22</v>
      </c>
      <c r="E22" s="8">
        <v>320</v>
      </c>
      <c r="F22" s="8">
        <v>8128.0276970000004</v>
      </c>
      <c r="G22" s="8" t="s">
        <v>38</v>
      </c>
      <c r="H22" s="8">
        <v>27</v>
      </c>
      <c r="I22" s="8">
        <v>12</v>
      </c>
      <c r="J22" s="8">
        <v>68</v>
      </c>
      <c r="K22" s="8">
        <v>6</v>
      </c>
      <c r="L22" s="8" t="s">
        <v>36</v>
      </c>
      <c r="M22" s="8">
        <v>8.8783349999999999</v>
      </c>
      <c r="N22" s="8" t="s">
        <v>39</v>
      </c>
      <c r="O22" s="8" t="s">
        <v>62</v>
      </c>
      <c r="P22" s="8">
        <v>29</v>
      </c>
      <c r="Q22" s="8">
        <v>309</v>
      </c>
      <c r="R22" s="8">
        <v>6</v>
      </c>
      <c r="S22" s="8">
        <v>65.686260000000004</v>
      </c>
      <c r="T22" s="8" t="s">
        <v>64</v>
      </c>
      <c r="U22" s="8">
        <v>4.2314170000000004</v>
      </c>
      <c r="V22" s="8" t="s">
        <v>40</v>
      </c>
      <c r="W22" s="8" t="s">
        <v>32</v>
      </c>
      <c r="X22" s="9">
        <v>493.87121500000001</v>
      </c>
    </row>
    <row r="23" spans="1:24" x14ac:dyDescent="0.3">
      <c r="A23" s="10" t="s">
        <v>57</v>
      </c>
      <c r="B23" s="11" t="s">
        <v>75</v>
      </c>
      <c r="C23" s="11">
        <v>84.893868999999995</v>
      </c>
      <c r="D23" s="11">
        <v>60</v>
      </c>
      <c r="E23" s="11">
        <v>601</v>
      </c>
      <c r="F23" s="11">
        <v>7087.0526959999997</v>
      </c>
      <c r="G23" s="11" t="s">
        <v>38</v>
      </c>
      <c r="H23" s="11">
        <v>69</v>
      </c>
      <c r="I23" s="11">
        <v>25</v>
      </c>
      <c r="J23" s="11">
        <v>7</v>
      </c>
      <c r="K23" s="11">
        <v>6</v>
      </c>
      <c r="L23" s="11" t="s">
        <v>27</v>
      </c>
      <c r="M23" s="11">
        <v>6.037884</v>
      </c>
      <c r="N23" s="11" t="s">
        <v>44</v>
      </c>
      <c r="O23" s="11" t="s">
        <v>62</v>
      </c>
      <c r="P23" s="11">
        <v>19</v>
      </c>
      <c r="Q23" s="11">
        <v>791</v>
      </c>
      <c r="R23" s="11">
        <v>4</v>
      </c>
      <c r="S23" s="11">
        <v>61.735728999999999</v>
      </c>
      <c r="T23" s="11" t="s">
        <v>30</v>
      </c>
      <c r="U23" s="11">
        <v>1.8608E-2</v>
      </c>
      <c r="V23" s="11" t="s">
        <v>40</v>
      </c>
      <c r="W23" s="11" t="s">
        <v>41</v>
      </c>
      <c r="X23" s="12">
        <v>523.36091499999998</v>
      </c>
    </row>
    <row r="24" spans="1:24" x14ac:dyDescent="0.3">
      <c r="A24" s="7" t="s">
        <v>24</v>
      </c>
      <c r="B24" s="8" t="s">
        <v>76</v>
      </c>
      <c r="C24" s="8">
        <v>27.679780999999998</v>
      </c>
      <c r="D24" s="8">
        <v>55</v>
      </c>
      <c r="E24" s="8">
        <v>884</v>
      </c>
      <c r="F24" s="8">
        <v>2390.807867</v>
      </c>
      <c r="G24" s="8" t="s">
        <v>38</v>
      </c>
      <c r="H24" s="8">
        <v>71</v>
      </c>
      <c r="I24" s="8">
        <v>1</v>
      </c>
      <c r="J24" s="8">
        <v>63</v>
      </c>
      <c r="K24" s="8">
        <v>10</v>
      </c>
      <c r="L24" s="8" t="s">
        <v>36</v>
      </c>
      <c r="M24" s="8">
        <v>9.5676489999999994</v>
      </c>
      <c r="N24" s="8" t="s">
        <v>52</v>
      </c>
      <c r="O24" s="8" t="s">
        <v>45</v>
      </c>
      <c r="P24" s="8">
        <v>22</v>
      </c>
      <c r="Q24" s="8">
        <v>780</v>
      </c>
      <c r="R24" s="8">
        <v>28</v>
      </c>
      <c r="S24" s="8">
        <v>50.120840000000001</v>
      </c>
      <c r="T24" s="8" t="s">
        <v>46</v>
      </c>
      <c r="U24" s="8">
        <v>2.591275</v>
      </c>
      <c r="V24" s="8" t="s">
        <v>47</v>
      </c>
      <c r="W24" s="8" t="s">
        <v>41</v>
      </c>
      <c r="X24" s="9">
        <v>205.57199600000001</v>
      </c>
    </row>
    <row r="25" spans="1:24" x14ac:dyDescent="0.3">
      <c r="A25" s="10" t="s">
        <v>57</v>
      </c>
      <c r="B25" s="11" t="s">
        <v>77</v>
      </c>
      <c r="C25" s="11">
        <v>4.3243410000000004</v>
      </c>
      <c r="D25" s="11">
        <v>30</v>
      </c>
      <c r="E25" s="11">
        <v>391</v>
      </c>
      <c r="F25" s="11">
        <v>8858.3675710000007</v>
      </c>
      <c r="G25" s="11" t="s">
        <v>38</v>
      </c>
      <c r="H25" s="11">
        <v>84</v>
      </c>
      <c r="I25" s="11">
        <v>5</v>
      </c>
      <c r="J25" s="11">
        <v>29</v>
      </c>
      <c r="K25" s="11">
        <v>7</v>
      </c>
      <c r="L25" s="11" t="s">
        <v>36</v>
      </c>
      <c r="M25" s="11">
        <v>2.924858</v>
      </c>
      <c r="N25" s="11" t="s">
        <v>44</v>
      </c>
      <c r="O25" s="11" t="s">
        <v>45</v>
      </c>
      <c r="P25" s="11">
        <v>11</v>
      </c>
      <c r="Q25" s="11">
        <v>568</v>
      </c>
      <c r="R25" s="11">
        <v>29</v>
      </c>
      <c r="S25" s="11">
        <v>98.609956999999994</v>
      </c>
      <c r="T25" s="11" t="s">
        <v>30</v>
      </c>
      <c r="U25" s="11">
        <v>1.342292</v>
      </c>
      <c r="V25" s="11" t="s">
        <v>47</v>
      </c>
      <c r="W25" s="11" t="s">
        <v>48</v>
      </c>
      <c r="X25" s="12">
        <v>196.32944599999999</v>
      </c>
    </row>
    <row r="26" spans="1:24" x14ac:dyDescent="0.3">
      <c r="A26" s="7" t="s">
        <v>24</v>
      </c>
      <c r="B26" s="8" t="s">
        <v>78</v>
      </c>
      <c r="C26" s="8">
        <v>4.1563080000000001</v>
      </c>
      <c r="D26" s="8">
        <v>32</v>
      </c>
      <c r="E26" s="8">
        <v>209</v>
      </c>
      <c r="F26" s="8">
        <v>9049.0778609999998</v>
      </c>
      <c r="G26" s="8" t="s">
        <v>55</v>
      </c>
      <c r="H26" s="8">
        <v>4</v>
      </c>
      <c r="I26" s="8">
        <v>26</v>
      </c>
      <c r="J26" s="8">
        <v>2</v>
      </c>
      <c r="K26" s="8">
        <v>8</v>
      </c>
      <c r="L26" s="8" t="s">
        <v>43</v>
      </c>
      <c r="M26" s="8">
        <v>9.7412919999999996</v>
      </c>
      <c r="N26" s="8" t="s">
        <v>61</v>
      </c>
      <c r="O26" s="8" t="s">
        <v>53</v>
      </c>
      <c r="P26" s="8">
        <v>28</v>
      </c>
      <c r="Q26" s="8">
        <v>447</v>
      </c>
      <c r="R26" s="8">
        <v>3</v>
      </c>
      <c r="S26" s="8">
        <v>40.382359999999998</v>
      </c>
      <c r="T26" s="8" t="s">
        <v>30</v>
      </c>
      <c r="U26" s="8">
        <v>3.6913100000000001</v>
      </c>
      <c r="V26" s="8" t="s">
        <v>40</v>
      </c>
      <c r="W26" s="8" t="s">
        <v>48</v>
      </c>
      <c r="X26" s="9">
        <v>758.72477300000003</v>
      </c>
    </row>
    <row r="27" spans="1:24" x14ac:dyDescent="0.3">
      <c r="A27" s="10" t="s">
        <v>24</v>
      </c>
      <c r="B27" s="11" t="s">
        <v>79</v>
      </c>
      <c r="C27" s="11">
        <v>39.629344000000003</v>
      </c>
      <c r="D27" s="11">
        <v>73</v>
      </c>
      <c r="E27" s="11">
        <v>142</v>
      </c>
      <c r="F27" s="11">
        <v>2174.7770540000001</v>
      </c>
      <c r="G27" s="11" t="s">
        <v>55</v>
      </c>
      <c r="H27" s="11">
        <v>82</v>
      </c>
      <c r="I27" s="11">
        <v>11</v>
      </c>
      <c r="J27" s="11">
        <v>52</v>
      </c>
      <c r="K27" s="11">
        <v>3</v>
      </c>
      <c r="L27" s="11" t="s">
        <v>43</v>
      </c>
      <c r="M27" s="11">
        <v>2.231074</v>
      </c>
      <c r="N27" s="11" t="s">
        <v>52</v>
      </c>
      <c r="O27" s="11" t="s">
        <v>45</v>
      </c>
      <c r="P27" s="11">
        <v>19</v>
      </c>
      <c r="Q27" s="11">
        <v>934</v>
      </c>
      <c r="R27" s="11">
        <v>23</v>
      </c>
      <c r="S27" s="11">
        <v>78.280383</v>
      </c>
      <c r="T27" s="11" t="s">
        <v>30</v>
      </c>
      <c r="U27" s="11">
        <v>3.797231</v>
      </c>
      <c r="V27" s="11" t="s">
        <v>31</v>
      </c>
      <c r="W27" s="11" t="s">
        <v>32</v>
      </c>
      <c r="X27" s="12">
        <v>458.53594600000002</v>
      </c>
    </row>
    <row r="28" spans="1:24" x14ac:dyDescent="0.3">
      <c r="A28" s="7" t="s">
        <v>24</v>
      </c>
      <c r="B28" s="8" t="s">
        <v>80</v>
      </c>
      <c r="C28" s="8">
        <v>97.446946999999994</v>
      </c>
      <c r="D28" s="8">
        <v>9</v>
      </c>
      <c r="E28" s="8">
        <v>353</v>
      </c>
      <c r="F28" s="8">
        <v>3716.4933259999998</v>
      </c>
      <c r="G28" s="8" t="s">
        <v>55</v>
      </c>
      <c r="H28" s="8">
        <v>59</v>
      </c>
      <c r="I28" s="8">
        <v>16</v>
      </c>
      <c r="J28" s="8">
        <v>48</v>
      </c>
      <c r="K28" s="8">
        <v>4</v>
      </c>
      <c r="L28" s="8" t="s">
        <v>27</v>
      </c>
      <c r="M28" s="8">
        <v>6.507549</v>
      </c>
      <c r="N28" s="8" t="s">
        <v>61</v>
      </c>
      <c r="O28" s="8" t="s">
        <v>53</v>
      </c>
      <c r="P28" s="8">
        <v>26</v>
      </c>
      <c r="Q28" s="8">
        <v>171</v>
      </c>
      <c r="R28" s="8">
        <v>4</v>
      </c>
      <c r="S28" s="8">
        <v>15.97223</v>
      </c>
      <c r="T28" s="8" t="s">
        <v>64</v>
      </c>
      <c r="U28" s="8">
        <v>2.1193200000000001</v>
      </c>
      <c r="V28" s="8" t="s">
        <v>47</v>
      </c>
      <c r="W28" s="8" t="s">
        <v>48</v>
      </c>
      <c r="X28" s="9">
        <v>617.86691599999995</v>
      </c>
    </row>
    <row r="29" spans="1:24" x14ac:dyDescent="0.3">
      <c r="A29" s="10" t="s">
        <v>57</v>
      </c>
      <c r="B29" s="11" t="s">
        <v>81</v>
      </c>
      <c r="C29" s="11">
        <v>92.557361</v>
      </c>
      <c r="D29" s="11">
        <v>42</v>
      </c>
      <c r="E29" s="11">
        <v>352</v>
      </c>
      <c r="F29" s="11">
        <v>2686.4572240000002</v>
      </c>
      <c r="G29" s="11" t="s">
        <v>38</v>
      </c>
      <c r="H29" s="11">
        <v>47</v>
      </c>
      <c r="I29" s="11">
        <v>9</v>
      </c>
      <c r="J29" s="11">
        <v>62</v>
      </c>
      <c r="K29" s="11">
        <v>8</v>
      </c>
      <c r="L29" s="11" t="s">
        <v>43</v>
      </c>
      <c r="M29" s="11">
        <v>7.4067509999999999</v>
      </c>
      <c r="N29" s="11" t="s">
        <v>44</v>
      </c>
      <c r="O29" s="11" t="s">
        <v>29</v>
      </c>
      <c r="P29" s="11">
        <v>25</v>
      </c>
      <c r="Q29" s="11">
        <v>291</v>
      </c>
      <c r="R29" s="11">
        <v>4</v>
      </c>
      <c r="S29" s="11">
        <v>10.528245</v>
      </c>
      <c r="T29" s="11" t="s">
        <v>46</v>
      </c>
      <c r="U29" s="11">
        <v>2.864668</v>
      </c>
      <c r="V29" s="11" t="s">
        <v>56</v>
      </c>
      <c r="W29" s="11" t="s">
        <v>32</v>
      </c>
      <c r="X29" s="12">
        <v>762.45918200000006</v>
      </c>
    </row>
    <row r="30" spans="1:24" x14ac:dyDescent="0.3">
      <c r="A30" s="7" t="s">
        <v>57</v>
      </c>
      <c r="B30" s="8" t="s">
        <v>82</v>
      </c>
      <c r="C30" s="8">
        <v>2.397275</v>
      </c>
      <c r="D30" s="8">
        <v>12</v>
      </c>
      <c r="E30" s="8">
        <v>394</v>
      </c>
      <c r="F30" s="8">
        <v>6117.3246150000004</v>
      </c>
      <c r="G30" s="8" t="s">
        <v>35</v>
      </c>
      <c r="H30" s="8">
        <v>48</v>
      </c>
      <c r="I30" s="8">
        <v>15</v>
      </c>
      <c r="J30" s="8">
        <v>24</v>
      </c>
      <c r="K30" s="8">
        <v>4</v>
      </c>
      <c r="L30" s="8" t="s">
        <v>27</v>
      </c>
      <c r="M30" s="8">
        <v>9.8981410000000007</v>
      </c>
      <c r="N30" s="8" t="s">
        <v>39</v>
      </c>
      <c r="O30" s="8" t="s">
        <v>29</v>
      </c>
      <c r="P30" s="8">
        <v>13</v>
      </c>
      <c r="Q30" s="8">
        <v>171</v>
      </c>
      <c r="R30" s="8">
        <v>7</v>
      </c>
      <c r="S30" s="8">
        <v>59.429381999999997</v>
      </c>
      <c r="T30" s="8" t="s">
        <v>46</v>
      </c>
      <c r="U30" s="8">
        <v>0.81575699999999995</v>
      </c>
      <c r="V30" s="8" t="s">
        <v>40</v>
      </c>
      <c r="W30" s="8" t="s">
        <v>48</v>
      </c>
      <c r="X30" s="9">
        <v>123.437028</v>
      </c>
    </row>
    <row r="31" spans="1:24" x14ac:dyDescent="0.3">
      <c r="A31" s="10" t="s">
        <v>57</v>
      </c>
      <c r="B31" s="11" t="s">
        <v>83</v>
      </c>
      <c r="C31" s="11">
        <v>63.447558999999998</v>
      </c>
      <c r="D31" s="11">
        <v>3</v>
      </c>
      <c r="E31" s="11">
        <v>253</v>
      </c>
      <c r="F31" s="11">
        <v>8318.9031950000008</v>
      </c>
      <c r="G31" s="11" t="s">
        <v>35</v>
      </c>
      <c r="H31" s="11">
        <v>45</v>
      </c>
      <c r="I31" s="11">
        <v>5</v>
      </c>
      <c r="J31" s="11">
        <v>67</v>
      </c>
      <c r="K31" s="11">
        <v>7</v>
      </c>
      <c r="L31" s="11" t="s">
        <v>27</v>
      </c>
      <c r="M31" s="11">
        <v>8.1009729999999998</v>
      </c>
      <c r="N31" s="11" t="s">
        <v>39</v>
      </c>
      <c r="O31" s="11" t="s">
        <v>45</v>
      </c>
      <c r="P31" s="11">
        <v>16</v>
      </c>
      <c r="Q31" s="11">
        <v>329</v>
      </c>
      <c r="R31" s="11">
        <v>7</v>
      </c>
      <c r="S31" s="11">
        <v>39.292876</v>
      </c>
      <c r="T31" s="11" t="s">
        <v>64</v>
      </c>
      <c r="U31" s="11">
        <v>3.8780990000000002</v>
      </c>
      <c r="V31" s="11" t="s">
        <v>31</v>
      </c>
      <c r="W31" s="11" t="s">
        <v>32</v>
      </c>
      <c r="X31" s="12">
        <v>764.93537600000002</v>
      </c>
    </row>
    <row r="32" spans="1:24" x14ac:dyDescent="0.3">
      <c r="A32" s="7" t="s">
        <v>24</v>
      </c>
      <c r="B32" s="8" t="s">
        <v>84</v>
      </c>
      <c r="C32" s="8">
        <v>8.0228590000000004</v>
      </c>
      <c r="D32" s="8">
        <v>10</v>
      </c>
      <c r="E32" s="8">
        <v>327</v>
      </c>
      <c r="F32" s="8">
        <v>2766.3423670000002</v>
      </c>
      <c r="G32" s="8" t="s">
        <v>55</v>
      </c>
      <c r="H32" s="8">
        <v>60</v>
      </c>
      <c r="I32" s="8">
        <v>26</v>
      </c>
      <c r="J32" s="8">
        <v>35</v>
      </c>
      <c r="K32" s="8">
        <v>7</v>
      </c>
      <c r="L32" s="8" t="s">
        <v>27</v>
      </c>
      <c r="M32" s="8">
        <v>8.9545279999999998</v>
      </c>
      <c r="N32" s="8" t="s">
        <v>52</v>
      </c>
      <c r="O32" s="8" t="s">
        <v>45</v>
      </c>
      <c r="P32" s="8">
        <v>27</v>
      </c>
      <c r="Q32" s="8">
        <v>806</v>
      </c>
      <c r="R32" s="8">
        <v>30</v>
      </c>
      <c r="S32" s="8">
        <v>51.634892999999998</v>
      </c>
      <c r="T32" s="8" t="s">
        <v>30</v>
      </c>
      <c r="U32" s="8">
        <v>0.965395</v>
      </c>
      <c r="V32" s="8" t="s">
        <v>31</v>
      </c>
      <c r="W32" s="8" t="s">
        <v>41</v>
      </c>
      <c r="X32" s="9">
        <v>880.08098800000005</v>
      </c>
    </row>
    <row r="33" spans="1:24" x14ac:dyDescent="0.3">
      <c r="A33" s="10" t="s">
        <v>33</v>
      </c>
      <c r="B33" s="11" t="s">
        <v>85</v>
      </c>
      <c r="C33" s="11">
        <v>50.847392999999997</v>
      </c>
      <c r="D33" s="11">
        <v>28</v>
      </c>
      <c r="E33" s="11">
        <v>168</v>
      </c>
      <c r="F33" s="11">
        <v>9655.1351030000005</v>
      </c>
      <c r="G33" s="11" t="s">
        <v>55</v>
      </c>
      <c r="H33" s="11">
        <v>6</v>
      </c>
      <c r="I33" s="11">
        <v>17</v>
      </c>
      <c r="J33" s="11">
        <v>44</v>
      </c>
      <c r="K33" s="11">
        <v>4</v>
      </c>
      <c r="L33" s="11" t="s">
        <v>27</v>
      </c>
      <c r="M33" s="11">
        <v>2.6796609999999998</v>
      </c>
      <c r="N33" s="11" t="s">
        <v>28</v>
      </c>
      <c r="O33" s="11" t="s">
        <v>62</v>
      </c>
      <c r="P33" s="11">
        <v>24</v>
      </c>
      <c r="Q33" s="11">
        <v>461</v>
      </c>
      <c r="R33" s="11">
        <v>8</v>
      </c>
      <c r="S33" s="11">
        <v>60.251145999999999</v>
      </c>
      <c r="T33" s="11" t="s">
        <v>30</v>
      </c>
      <c r="U33" s="11">
        <v>2.9889999999999999</v>
      </c>
      <c r="V33" s="11" t="s">
        <v>47</v>
      </c>
      <c r="W33" s="11" t="s">
        <v>41</v>
      </c>
      <c r="X33" s="12">
        <v>609.37920699999995</v>
      </c>
    </row>
    <row r="34" spans="1:24" x14ac:dyDescent="0.3">
      <c r="A34" s="7" t="s">
        <v>33</v>
      </c>
      <c r="B34" s="8" t="s">
        <v>86</v>
      </c>
      <c r="C34" s="8">
        <v>79.209935999999999</v>
      </c>
      <c r="D34" s="8">
        <v>43</v>
      </c>
      <c r="E34" s="8">
        <v>781</v>
      </c>
      <c r="F34" s="8">
        <v>9571.5504870000004</v>
      </c>
      <c r="G34" s="8" t="s">
        <v>38</v>
      </c>
      <c r="H34" s="8">
        <v>89</v>
      </c>
      <c r="I34" s="8">
        <v>13</v>
      </c>
      <c r="J34" s="8">
        <v>64</v>
      </c>
      <c r="K34" s="8">
        <v>4</v>
      </c>
      <c r="L34" s="8" t="s">
        <v>43</v>
      </c>
      <c r="M34" s="8">
        <v>6.5991049999999998</v>
      </c>
      <c r="N34" s="8" t="s">
        <v>28</v>
      </c>
      <c r="O34" s="8" t="s">
        <v>45</v>
      </c>
      <c r="P34" s="8">
        <v>30</v>
      </c>
      <c r="Q34" s="8">
        <v>737</v>
      </c>
      <c r="R34" s="8">
        <v>7</v>
      </c>
      <c r="S34" s="8">
        <v>29.692467000000001</v>
      </c>
      <c r="T34" s="8" t="s">
        <v>64</v>
      </c>
      <c r="U34" s="8">
        <v>1.9460360000000001</v>
      </c>
      <c r="V34" s="8" t="s">
        <v>31</v>
      </c>
      <c r="W34" s="8" t="s">
        <v>48</v>
      </c>
      <c r="X34" s="9">
        <v>761.17390999999998</v>
      </c>
    </row>
    <row r="35" spans="1:24" x14ac:dyDescent="0.3">
      <c r="A35" s="10" t="s">
        <v>57</v>
      </c>
      <c r="B35" s="11" t="s">
        <v>87</v>
      </c>
      <c r="C35" s="11">
        <v>64.795434999999998</v>
      </c>
      <c r="D35" s="11">
        <v>63</v>
      </c>
      <c r="E35" s="11">
        <v>616</v>
      </c>
      <c r="F35" s="11">
        <v>5149.9983499999998</v>
      </c>
      <c r="G35" s="11" t="s">
        <v>26</v>
      </c>
      <c r="H35" s="11">
        <v>4</v>
      </c>
      <c r="I35" s="11">
        <v>17</v>
      </c>
      <c r="J35" s="11">
        <v>95</v>
      </c>
      <c r="K35" s="11">
        <v>9</v>
      </c>
      <c r="L35" s="11" t="s">
        <v>43</v>
      </c>
      <c r="M35" s="11">
        <v>4.8582710000000002</v>
      </c>
      <c r="N35" s="11" t="s">
        <v>44</v>
      </c>
      <c r="O35" s="11" t="s">
        <v>62</v>
      </c>
      <c r="P35" s="11">
        <v>1</v>
      </c>
      <c r="Q35" s="11">
        <v>251</v>
      </c>
      <c r="R35" s="11">
        <v>23</v>
      </c>
      <c r="S35" s="11">
        <v>23.853428000000001</v>
      </c>
      <c r="T35" s="11" t="s">
        <v>46</v>
      </c>
      <c r="U35" s="11">
        <v>3.5410460000000001</v>
      </c>
      <c r="V35" s="11" t="s">
        <v>56</v>
      </c>
      <c r="W35" s="11" t="s">
        <v>48</v>
      </c>
      <c r="X35" s="12">
        <v>371.25529599999999</v>
      </c>
    </row>
    <row r="36" spans="1:24" x14ac:dyDescent="0.3">
      <c r="A36" s="7" t="s">
        <v>33</v>
      </c>
      <c r="B36" s="8" t="s">
        <v>88</v>
      </c>
      <c r="C36" s="8">
        <v>37.467592000000003</v>
      </c>
      <c r="D36" s="8">
        <v>96</v>
      </c>
      <c r="E36" s="8">
        <v>602</v>
      </c>
      <c r="F36" s="8">
        <v>9061.7108960000005</v>
      </c>
      <c r="G36" s="8" t="s">
        <v>38</v>
      </c>
      <c r="H36" s="8">
        <v>1</v>
      </c>
      <c r="I36" s="8">
        <v>26</v>
      </c>
      <c r="J36" s="8">
        <v>21</v>
      </c>
      <c r="K36" s="8">
        <v>7</v>
      </c>
      <c r="L36" s="8" t="s">
        <v>36</v>
      </c>
      <c r="M36" s="8">
        <v>1.0194879999999999</v>
      </c>
      <c r="N36" s="8" t="s">
        <v>39</v>
      </c>
      <c r="O36" s="8" t="s">
        <v>62</v>
      </c>
      <c r="P36" s="8">
        <v>4</v>
      </c>
      <c r="Q36" s="8">
        <v>452</v>
      </c>
      <c r="R36" s="8">
        <v>10</v>
      </c>
      <c r="S36" s="8">
        <v>10.754273</v>
      </c>
      <c r="T36" s="8" t="s">
        <v>64</v>
      </c>
      <c r="U36" s="8">
        <v>0.64660499999999999</v>
      </c>
      <c r="V36" s="8" t="s">
        <v>31</v>
      </c>
      <c r="W36" s="8" t="s">
        <v>32</v>
      </c>
      <c r="X36" s="9">
        <v>510.358</v>
      </c>
    </row>
    <row r="37" spans="1:24" x14ac:dyDescent="0.3">
      <c r="A37" s="10" t="s">
        <v>57</v>
      </c>
      <c r="B37" s="11" t="s">
        <v>89</v>
      </c>
      <c r="C37" s="11">
        <v>84.957786999999996</v>
      </c>
      <c r="D37" s="11">
        <v>11</v>
      </c>
      <c r="E37" s="11">
        <v>449</v>
      </c>
      <c r="F37" s="11">
        <v>6541.3293450000001</v>
      </c>
      <c r="G37" s="11" t="s">
        <v>35</v>
      </c>
      <c r="H37" s="11">
        <v>42</v>
      </c>
      <c r="I37" s="11">
        <v>27</v>
      </c>
      <c r="J37" s="11">
        <v>85</v>
      </c>
      <c r="K37" s="11">
        <v>8</v>
      </c>
      <c r="L37" s="11" t="s">
        <v>43</v>
      </c>
      <c r="M37" s="11">
        <v>5.2881900000000002</v>
      </c>
      <c r="N37" s="11" t="s">
        <v>39</v>
      </c>
      <c r="O37" s="11" t="s">
        <v>50</v>
      </c>
      <c r="P37" s="11">
        <v>3</v>
      </c>
      <c r="Q37" s="11">
        <v>367</v>
      </c>
      <c r="R37" s="11">
        <v>2</v>
      </c>
      <c r="S37" s="11">
        <v>58.004787</v>
      </c>
      <c r="T37" s="11" t="s">
        <v>64</v>
      </c>
      <c r="U37" s="11">
        <v>0.54115400000000002</v>
      </c>
      <c r="V37" s="11" t="s">
        <v>56</v>
      </c>
      <c r="W37" s="11" t="s">
        <v>41</v>
      </c>
      <c r="X37" s="12">
        <v>553.42047100000002</v>
      </c>
    </row>
    <row r="38" spans="1:24" x14ac:dyDescent="0.3">
      <c r="A38" s="7" t="s">
        <v>33</v>
      </c>
      <c r="B38" s="8" t="s">
        <v>90</v>
      </c>
      <c r="C38" s="8">
        <v>9.8130030000000001</v>
      </c>
      <c r="D38" s="8">
        <v>34</v>
      </c>
      <c r="E38" s="8">
        <v>963</v>
      </c>
      <c r="F38" s="8">
        <v>7573.4024579999996</v>
      </c>
      <c r="G38" s="8" t="s">
        <v>35</v>
      </c>
      <c r="H38" s="8">
        <v>18</v>
      </c>
      <c r="I38" s="8">
        <v>23</v>
      </c>
      <c r="J38" s="8">
        <v>28</v>
      </c>
      <c r="K38" s="8">
        <v>3</v>
      </c>
      <c r="L38" s="8" t="s">
        <v>27</v>
      </c>
      <c r="M38" s="8">
        <v>2.1079509999999999</v>
      </c>
      <c r="N38" s="8" t="s">
        <v>61</v>
      </c>
      <c r="O38" s="8" t="s">
        <v>50</v>
      </c>
      <c r="P38" s="8">
        <v>26</v>
      </c>
      <c r="Q38" s="8">
        <v>671</v>
      </c>
      <c r="R38" s="8">
        <v>19</v>
      </c>
      <c r="S38" s="8">
        <v>45.531364000000004</v>
      </c>
      <c r="T38" s="8" t="s">
        <v>46</v>
      </c>
      <c r="U38" s="8">
        <v>3.8055330000000001</v>
      </c>
      <c r="V38" s="8" t="s">
        <v>40</v>
      </c>
      <c r="W38" s="8" t="s">
        <v>41</v>
      </c>
      <c r="X38" s="9">
        <v>403.80897399999998</v>
      </c>
    </row>
    <row r="39" spans="1:24" x14ac:dyDescent="0.3">
      <c r="A39" s="10" t="s">
        <v>33</v>
      </c>
      <c r="B39" s="11" t="s">
        <v>91</v>
      </c>
      <c r="C39" s="11">
        <v>23.399844999999999</v>
      </c>
      <c r="D39" s="11">
        <v>5</v>
      </c>
      <c r="E39" s="11">
        <v>963</v>
      </c>
      <c r="F39" s="11">
        <v>2438.3399300000001</v>
      </c>
      <c r="G39" s="11" t="s">
        <v>35</v>
      </c>
      <c r="H39" s="11">
        <v>25</v>
      </c>
      <c r="I39" s="11">
        <v>8</v>
      </c>
      <c r="J39" s="11">
        <v>21</v>
      </c>
      <c r="K39" s="11">
        <v>9</v>
      </c>
      <c r="L39" s="11" t="s">
        <v>36</v>
      </c>
      <c r="M39" s="11">
        <v>1.5326550000000001</v>
      </c>
      <c r="N39" s="11" t="s">
        <v>28</v>
      </c>
      <c r="O39" s="11" t="s">
        <v>45</v>
      </c>
      <c r="P39" s="11">
        <v>24</v>
      </c>
      <c r="Q39" s="11">
        <v>867</v>
      </c>
      <c r="R39" s="11">
        <v>15</v>
      </c>
      <c r="S39" s="11">
        <v>34.343277</v>
      </c>
      <c r="T39" s="11" t="s">
        <v>30</v>
      </c>
      <c r="U39" s="11">
        <v>2.6102880000000002</v>
      </c>
      <c r="V39" s="11" t="s">
        <v>56</v>
      </c>
      <c r="W39" s="11" t="s">
        <v>48</v>
      </c>
      <c r="X39" s="12">
        <v>183.93296799999999</v>
      </c>
    </row>
    <row r="40" spans="1:24" x14ac:dyDescent="0.3">
      <c r="A40" s="7" t="s">
        <v>57</v>
      </c>
      <c r="B40" s="8" t="s">
        <v>92</v>
      </c>
      <c r="C40" s="8">
        <v>52.075930999999997</v>
      </c>
      <c r="D40" s="8">
        <v>75</v>
      </c>
      <c r="E40" s="8">
        <v>705</v>
      </c>
      <c r="F40" s="8">
        <v>9692.3180400000001</v>
      </c>
      <c r="G40" s="8" t="s">
        <v>26</v>
      </c>
      <c r="H40" s="8">
        <v>69</v>
      </c>
      <c r="I40" s="8">
        <v>1</v>
      </c>
      <c r="J40" s="8">
        <v>88</v>
      </c>
      <c r="K40" s="8">
        <v>5</v>
      </c>
      <c r="L40" s="8" t="s">
        <v>27</v>
      </c>
      <c r="M40" s="8">
        <v>9.2359310000000008</v>
      </c>
      <c r="N40" s="8" t="s">
        <v>44</v>
      </c>
      <c r="O40" s="8" t="s">
        <v>29</v>
      </c>
      <c r="P40" s="8">
        <v>10</v>
      </c>
      <c r="Q40" s="8">
        <v>841</v>
      </c>
      <c r="R40" s="8">
        <v>12</v>
      </c>
      <c r="S40" s="8">
        <v>5.9306939999999999</v>
      </c>
      <c r="T40" s="8" t="s">
        <v>30</v>
      </c>
      <c r="U40" s="8">
        <v>0.61332699999999996</v>
      </c>
      <c r="V40" s="8" t="s">
        <v>40</v>
      </c>
      <c r="W40" s="8" t="s">
        <v>32</v>
      </c>
      <c r="X40" s="9">
        <v>339.67286999999999</v>
      </c>
    </row>
    <row r="41" spans="1:24" x14ac:dyDescent="0.3">
      <c r="A41" s="10" t="s">
        <v>33</v>
      </c>
      <c r="B41" s="11" t="s">
        <v>93</v>
      </c>
      <c r="C41" s="11">
        <v>19.127476999999999</v>
      </c>
      <c r="D41" s="11">
        <v>26</v>
      </c>
      <c r="E41" s="11">
        <v>176</v>
      </c>
      <c r="F41" s="11">
        <v>1912.4656629999999</v>
      </c>
      <c r="G41" s="11" t="s">
        <v>35</v>
      </c>
      <c r="H41" s="11">
        <v>78</v>
      </c>
      <c r="I41" s="11">
        <v>29</v>
      </c>
      <c r="J41" s="11">
        <v>34</v>
      </c>
      <c r="K41" s="11">
        <v>3</v>
      </c>
      <c r="L41" s="11" t="s">
        <v>36</v>
      </c>
      <c r="M41" s="11">
        <v>5.5625039999999997</v>
      </c>
      <c r="N41" s="11" t="s">
        <v>61</v>
      </c>
      <c r="O41" s="11" t="s">
        <v>45</v>
      </c>
      <c r="P41" s="11">
        <v>30</v>
      </c>
      <c r="Q41" s="11">
        <v>791</v>
      </c>
      <c r="R41" s="11">
        <v>6</v>
      </c>
      <c r="S41" s="11">
        <v>9.0058070000000008</v>
      </c>
      <c r="T41" s="11" t="s">
        <v>46</v>
      </c>
      <c r="U41" s="11">
        <v>1.451972</v>
      </c>
      <c r="V41" s="11" t="s">
        <v>40</v>
      </c>
      <c r="W41" s="11" t="s">
        <v>32</v>
      </c>
      <c r="X41" s="12">
        <v>653.67299500000001</v>
      </c>
    </row>
    <row r="42" spans="1:24" x14ac:dyDescent="0.3">
      <c r="A42" s="7" t="s">
        <v>33</v>
      </c>
      <c r="B42" s="8" t="s">
        <v>94</v>
      </c>
      <c r="C42" s="8">
        <v>80.541424000000006</v>
      </c>
      <c r="D42" s="8">
        <v>97</v>
      </c>
      <c r="E42" s="8">
        <v>933</v>
      </c>
      <c r="F42" s="8">
        <v>5724.9593500000001</v>
      </c>
      <c r="G42" s="8" t="s">
        <v>35</v>
      </c>
      <c r="H42" s="8">
        <v>90</v>
      </c>
      <c r="I42" s="8">
        <v>20</v>
      </c>
      <c r="J42" s="8">
        <v>39</v>
      </c>
      <c r="K42" s="8">
        <v>8</v>
      </c>
      <c r="L42" s="8" t="s">
        <v>43</v>
      </c>
      <c r="M42" s="8">
        <v>7.2295949999999998</v>
      </c>
      <c r="N42" s="8" t="s">
        <v>39</v>
      </c>
      <c r="O42" s="8" t="s">
        <v>45</v>
      </c>
      <c r="P42" s="8">
        <v>18</v>
      </c>
      <c r="Q42" s="8">
        <v>793</v>
      </c>
      <c r="R42" s="8">
        <v>1</v>
      </c>
      <c r="S42" s="8">
        <v>88.179406999999998</v>
      </c>
      <c r="T42" s="8" t="s">
        <v>30</v>
      </c>
      <c r="U42" s="8">
        <v>4.2132690000000004</v>
      </c>
      <c r="V42" s="8" t="s">
        <v>31</v>
      </c>
      <c r="W42" s="8" t="s">
        <v>48</v>
      </c>
      <c r="X42" s="9">
        <v>529.80872399999998</v>
      </c>
    </row>
    <row r="43" spans="1:24" x14ac:dyDescent="0.3">
      <c r="A43" s="10" t="s">
        <v>33</v>
      </c>
      <c r="B43" s="11" t="s">
        <v>95</v>
      </c>
      <c r="C43" s="11">
        <v>99.113292000000001</v>
      </c>
      <c r="D43" s="11">
        <v>35</v>
      </c>
      <c r="E43" s="11">
        <v>556</v>
      </c>
      <c r="F43" s="11">
        <v>5521.2052590000003</v>
      </c>
      <c r="G43" s="11" t="s">
        <v>35</v>
      </c>
      <c r="H43" s="11">
        <v>64</v>
      </c>
      <c r="I43" s="11">
        <v>19</v>
      </c>
      <c r="J43" s="11">
        <v>38</v>
      </c>
      <c r="K43" s="11">
        <v>8</v>
      </c>
      <c r="L43" s="11" t="s">
        <v>27</v>
      </c>
      <c r="M43" s="11">
        <v>5.7732640000000002</v>
      </c>
      <c r="N43" s="11" t="s">
        <v>52</v>
      </c>
      <c r="O43" s="11" t="s">
        <v>62</v>
      </c>
      <c r="P43" s="11">
        <v>18</v>
      </c>
      <c r="Q43" s="11">
        <v>892</v>
      </c>
      <c r="R43" s="11">
        <v>7</v>
      </c>
      <c r="S43" s="11">
        <v>95.332065</v>
      </c>
      <c r="T43" s="11" t="s">
        <v>46</v>
      </c>
      <c r="U43" s="11">
        <v>4.5302000000000002E-2</v>
      </c>
      <c r="V43" s="11" t="s">
        <v>56</v>
      </c>
      <c r="W43" s="11" t="s">
        <v>48</v>
      </c>
      <c r="X43" s="12">
        <v>275.52437099999997</v>
      </c>
    </row>
    <row r="44" spans="1:24" x14ac:dyDescent="0.3">
      <c r="A44" s="7" t="s">
        <v>33</v>
      </c>
      <c r="B44" s="8" t="s">
        <v>96</v>
      </c>
      <c r="C44" s="8">
        <v>46.529167999999999</v>
      </c>
      <c r="D44" s="8">
        <v>98</v>
      </c>
      <c r="E44" s="8">
        <v>155</v>
      </c>
      <c r="F44" s="8">
        <v>1839.609426</v>
      </c>
      <c r="G44" s="8" t="s">
        <v>35</v>
      </c>
      <c r="H44" s="8">
        <v>22</v>
      </c>
      <c r="I44" s="8">
        <v>27</v>
      </c>
      <c r="J44" s="8">
        <v>57</v>
      </c>
      <c r="K44" s="8">
        <v>4</v>
      </c>
      <c r="L44" s="8" t="s">
        <v>43</v>
      </c>
      <c r="M44" s="8">
        <v>7.5262479999999998</v>
      </c>
      <c r="N44" s="8" t="s">
        <v>44</v>
      </c>
      <c r="O44" s="8" t="s">
        <v>53</v>
      </c>
      <c r="P44" s="8">
        <v>26</v>
      </c>
      <c r="Q44" s="8">
        <v>179</v>
      </c>
      <c r="R44" s="8">
        <v>7</v>
      </c>
      <c r="S44" s="8">
        <v>96.422820999999999</v>
      </c>
      <c r="T44" s="8" t="s">
        <v>46</v>
      </c>
      <c r="U44" s="8">
        <v>4.9392550000000002</v>
      </c>
      <c r="V44" s="8" t="s">
        <v>31</v>
      </c>
      <c r="W44" s="8" t="s">
        <v>48</v>
      </c>
      <c r="X44" s="9">
        <v>635.65712099999996</v>
      </c>
    </row>
    <row r="45" spans="1:24" x14ac:dyDescent="0.3">
      <c r="A45" s="10" t="s">
        <v>24</v>
      </c>
      <c r="B45" s="11" t="s">
        <v>97</v>
      </c>
      <c r="C45" s="11">
        <v>11.743271999999999</v>
      </c>
      <c r="D45" s="11">
        <v>6</v>
      </c>
      <c r="E45" s="11">
        <v>598</v>
      </c>
      <c r="F45" s="11">
        <v>5737.4255990000001</v>
      </c>
      <c r="G45" s="11" t="s">
        <v>38</v>
      </c>
      <c r="H45" s="11">
        <v>36</v>
      </c>
      <c r="I45" s="11">
        <v>29</v>
      </c>
      <c r="J45" s="11">
        <v>85</v>
      </c>
      <c r="K45" s="11">
        <v>9</v>
      </c>
      <c r="L45" s="11" t="s">
        <v>27</v>
      </c>
      <c r="M45" s="11">
        <v>3.6940210000000002</v>
      </c>
      <c r="N45" s="11" t="s">
        <v>44</v>
      </c>
      <c r="O45" s="11" t="s">
        <v>29</v>
      </c>
      <c r="P45" s="11">
        <v>1</v>
      </c>
      <c r="Q45" s="11">
        <v>206</v>
      </c>
      <c r="R45" s="11">
        <v>23</v>
      </c>
      <c r="S45" s="11">
        <v>26.277366000000001</v>
      </c>
      <c r="T45" s="11" t="s">
        <v>30</v>
      </c>
      <c r="U45" s="11">
        <v>0.372305</v>
      </c>
      <c r="V45" s="11" t="s">
        <v>40</v>
      </c>
      <c r="W45" s="11" t="s">
        <v>48</v>
      </c>
      <c r="X45" s="12">
        <v>716.04412000000002</v>
      </c>
    </row>
    <row r="46" spans="1:24" x14ac:dyDescent="0.3">
      <c r="A46" s="7" t="s">
        <v>57</v>
      </c>
      <c r="B46" s="8" t="s">
        <v>98</v>
      </c>
      <c r="C46" s="8">
        <v>51.355791000000004</v>
      </c>
      <c r="D46" s="8">
        <v>34</v>
      </c>
      <c r="E46" s="8">
        <v>919</v>
      </c>
      <c r="F46" s="8">
        <v>7152.2860490000003</v>
      </c>
      <c r="G46" s="8" t="s">
        <v>35</v>
      </c>
      <c r="H46" s="8">
        <v>13</v>
      </c>
      <c r="I46" s="8">
        <v>19</v>
      </c>
      <c r="J46" s="8">
        <v>72</v>
      </c>
      <c r="K46" s="8">
        <v>6</v>
      </c>
      <c r="L46" s="8" t="s">
        <v>43</v>
      </c>
      <c r="M46" s="8">
        <v>7.5774499999999998</v>
      </c>
      <c r="N46" s="8" t="s">
        <v>61</v>
      </c>
      <c r="O46" s="8" t="s">
        <v>50</v>
      </c>
      <c r="P46" s="8">
        <v>7</v>
      </c>
      <c r="Q46" s="8">
        <v>834</v>
      </c>
      <c r="R46" s="8">
        <v>18</v>
      </c>
      <c r="S46" s="8">
        <v>22.554106999999998</v>
      </c>
      <c r="T46" s="8" t="s">
        <v>46</v>
      </c>
      <c r="U46" s="8">
        <v>2.9626260000000002</v>
      </c>
      <c r="V46" s="8" t="s">
        <v>47</v>
      </c>
      <c r="W46" s="8" t="s">
        <v>48</v>
      </c>
      <c r="X46" s="9">
        <v>610.45326999999997</v>
      </c>
    </row>
    <row r="47" spans="1:24" x14ac:dyDescent="0.3">
      <c r="A47" s="10" t="s">
        <v>24</v>
      </c>
      <c r="B47" s="11" t="s">
        <v>99</v>
      </c>
      <c r="C47" s="11">
        <v>33.784137999999999</v>
      </c>
      <c r="D47" s="11">
        <v>1</v>
      </c>
      <c r="E47" s="11">
        <v>24</v>
      </c>
      <c r="F47" s="11">
        <v>5267.9568079999999</v>
      </c>
      <c r="G47" s="11" t="s">
        <v>55</v>
      </c>
      <c r="H47" s="11">
        <v>93</v>
      </c>
      <c r="I47" s="11">
        <v>7</v>
      </c>
      <c r="J47" s="11">
        <v>52</v>
      </c>
      <c r="K47" s="11">
        <v>6</v>
      </c>
      <c r="L47" s="11" t="s">
        <v>27</v>
      </c>
      <c r="M47" s="11">
        <v>5.2151550000000002</v>
      </c>
      <c r="N47" s="11" t="s">
        <v>61</v>
      </c>
      <c r="O47" s="11" t="s">
        <v>62</v>
      </c>
      <c r="P47" s="11">
        <v>25</v>
      </c>
      <c r="Q47" s="11">
        <v>794</v>
      </c>
      <c r="R47" s="11">
        <v>25</v>
      </c>
      <c r="S47" s="11">
        <v>66.312544000000003</v>
      </c>
      <c r="T47" s="11" t="s">
        <v>64</v>
      </c>
      <c r="U47" s="11">
        <v>3.2196050000000001</v>
      </c>
      <c r="V47" s="11" t="s">
        <v>47</v>
      </c>
      <c r="W47" s="11" t="s">
        <v>48</v>
      </c>
      <c r="X47" s="12">
        <v>495.30569700000001</v>
      </c>
    </row>
    <row r="48" spans="1:24" x14ac:dyDescent="0.3">
      <c r="A48" s="7" t="s">
        <v>24</v>
      </c>
      <c r="B48" s="8" t="s">
        <v>100</v>
      </c>
      <c r="C48" s="8">
        <v>27.082207</v>
      </c>
      <c r="D48" s="8">
        <v>75</v>
      </c>
      <c r="E48" s="8">
        <v>859</v>
      </c>
      <c r="F48" s="8">
        <v>2556.7673610000002</v>
      </c>
      <c r="G48" s="8" t="s">
        <v>26</v>
      </c>
      <c r="H48" s="8">
        <v>92</v>
      </c>
      <c r="I48" s="8">
        <v>29</v>
      </c>
      <c r="J48" s="8">
        <v>6</v>
      </c>
      <c r="K48" s="8">
        <v>8</v>
      </c>
      <c r="L48" s="8" t="s">
        <v>27</v>
      </c>
      <c r="M48" s="8">
        <v>4.0709559999999998</v>
      </c>
      <c r="N48" s="8" t="s">
        <v>28</v>
      </c>
      <c r="O48" s="8" t="s">
        <v>62</v>
      </c>
      <c r="P48" s="8">
        <v>18</v>
      </c>
      <c r="Q48" s="8">
        <v>870</v>
      </c>
      <c r="R48" s="8">
        <v>23</v>
      </c>
      <c r="S48" s="8">
        <v>77.322353000000007</v>
      </c>
      <c r="T48" s="8" t="s">
        <v>30</v>
      </c>
      <c r="U48" s="8">
        <v>3.6486109999999998</v>
      </c>
      <c r="V48" s="8" t="s">
        <v>31</v>
      </c>
      <c r="W48" s="8" t="s">
        <v>32</v>
      </c>
      <c r="X48" s="9">
        <v>380.43593700000002</v>
      </c>
    </row>
    <row r="49" spans="1:24" x14ac:dyDescent="0.3">
      <c r="A49" s="10" t="s">
        <v>33</v>
      </c>
      <c r="B49" s="11" t="s">
        <v>101</v>
      </c>
      <c r="C49" s="11">
        <v>95.712136000000001</v>
      </c>
      <c r="D49" s="11">
        <v>93</v>
      </c>
      <c r="E49" s="11">
        <v>910</v>
      </c>
      <c r="F49" s="11">
        <v>7089.4742500000002</v>
      </c>
      <c r="G49" s="11" t="s">
        <v>55</v>
      </c>
      <c r="H49" s="11">
        <v>4</v>
      </c>
      <c r="I49" s="11">
        <v>15</v>
      </c>
      <c r="J49" s="11">
        <v>51</v>
      </c>
      <c r="K49" s="11">
        <v>9</v>
      </c>
      <c r="L49" s="11" t="s">
        <v>27</v>
      </c>
      <c r="M49" s="11">
        <v>8.9787510000000008</v>
      </c>
      <c r="N49" s="11" t="s">
        <v>39</v>
      </c>
      <c r="O49" s="11" t="s">
        <v>45</v>
      </c>
      <c r="P49" s="11">
        <v>10</v>
      </c>
      <c r="Q49" s="11">
        <v>964</v>
      </c>
      <c r="R49" s="11">
        <v>20</v>
      </c>
      <c r="S49" s="11">
        <v>19.712993000000001</v>
      </c>
      <c r="T49" s="11" t="s">
        <v>30</v>
      </c>
      <c r="U49" s="11">
        <v>0.38057400000000002</v>
      </c>
      <c r="V49" s="11" t="s">
        <v>47</v>
      </c>
      <c r="W49" s="11" t="s">
        <v>48</v>
      </c>
      <c r="X49" s="12">
        <v>581.60235499999999</v>
      </c>
    </row>
    <row r="50" spans="1:24" x14ac:dyDescent="0.3">
      <c r="A50" s="7" t="s">
        <v>24</v>
      </c>
      <c r="B50" s="8" t="s">
        <v>102</v>
      </c>
      <c r="C50" s="8">
        <v>76.035544000000002</v>
      </c>
      <c r="D50" s="8">
        <v>28</v>
      </c>
      <c r="E50" s="8">
        <v>29</v>
      </c>
      <c r="F50" s="8">
        <v>7397.0710049999998</v>
      </c>
      <c r="G50" s="8" t="s">
        <v>26</v>
      </c>
      <c r="H50" s="8">
        <v>30</v>
      </c>
      <c r="I50" s="8">
        <v>16</v>
      </c>
      <c r="J50" s="8">
        <v>9</v>
      </c>
      <c r="K50" s="8">
        <v>3</v>
      </c>
      <c r="L50" s="8" t="s">
        <v>43</v>
      </c>
      <c r="M50" s="8">
        <v>7.0958329999999998</v>
      </c>
      <c r="N50" s="8" t="s">
        <v>61</v>
      </c>
      <c r="O50" s="8" t="s">
        <v>29</v>
      </c>
      <c r="P50" s="8">
        <v>9</v>
      </c>
      <c r="Q50" s="8">
        <v>109</v>
      </c>
      <c r="R50" s="8">
        <v>18</v>
      </c>
      <c r="S50" s="8">
        <v>23.126363999999999</v>
      </c>
      <c r="T50" s="8" t="s">
        <v>46</v>
      </c>
      <c r="U50" s="8">
        <v>1.698113</v>
      </c>
      <c r="V50" s="8" t="s">
        <v>47</v>
      </c>
      <c r="W50" s="8" t="s">
        <v>32</v>
      </c>
      <c r="X50" s="9">
        <v>768.65191400000003</v>
      </c>
    </row>
    <row r="51" spans="1:24" x14ac:dyDescent="0.3">
      <c r="A51" s="10" t="s">
        <v>57</v>
      </c>
      <c r="B51" s="11" t="s">
        <v>103</v>
      </c>
      <c r="C51" s="11">
        <v>78.897913000000003</v>
      </c>
      <c r="D51" s="11">
        <v>19</v>
      </c>
      <c r="E51" s="11">
        <v>99</v>
      </c>
      <c r="F51" s="11">
        <v>8001.6132070000003</v>
      </c>
      <c r="G51" s="11" t="s">
        <v>38</v>
      </c>
      <c r="H51" s="11">
        <v>97</v>
      </c>
      <c r="I51" s="11">
        <v>24</v>
      </c>
      <c r="J51" s="11">
        <v>9</v>
      </c>
      <c r="K51" s="11">
        <v>6</v>
      </c>
      <c r="L51" s="11" t="s">
        <v>43</v>
      </c>
      <c r="M51" s="11">
        <v>2.5056210000000001</v>
      </c>
      <c r="N51" s="11" t="s">
        <v>44</v>
      </c>
      <c r="O51" s="11" t="s">
        <v>50</v>
      </c>
      <c r="P51" s="11">
        <v>28</v>
      </c>
      <c r="Q51" s="11">
        <v>177</v>
      </c>
      <c r="R51" s="11">
        <v>28</v>
      </c>
      <c r="S51" s="11">
        <v>14.147815</v>
      </c>
      <c r="T51" s="11" t="s">
        <v>64</v>
      </c>
      <c r="U51" s="11">
        <v>2.8258139999999998</v>
      </c>
      <c r="V51" s="11" t="s">
        <v>47</v>
      </c>
      <c r="W51" s="11" t="s">
        <v>48</v>
      </c>
      <c r="X51" s="12">
        <v>336.89016900000001</v>
      </c>
    </row>
    <row r="52" spans="1:24" x14ac:dyDescent="0.3">
      <c r="A52" s="7" t="s">
        <v>57</v>
      </c>
      <c r="B52" s="8" t="s">
        <v>104</v>
      </c>
      <c r="C52" s="8">
        <v>14.203484</v>
      </c>
      <c r="D52" s="8">
        <v>91</v>
      </c>
      <c r="E52" s="8">
        <v>633</v>
      </c>
      <c r="F52" s="8">
        <v>5910.8853900000004</v>
      </c>
      <c r="G52" s="8" t="s">
        <v>35</v>
      </c>
      <c r="H52" s="8">
        <v>31</v>
      </c>
      <c r="I52" s="8">
        <v>23</v>
      </c>
      <c r="J52" s="8">
        <v>82</v>
      </c>
      <c r="K52" s="8">
        <v>10</v>
      </c>
      <c r="L52" s="8" t="s">
        <v>36</v>
      </c>
      <c r="M52" s="8">
        <v>6.2478610000000003</v>
      </c>
      <c r="N52" s="8" t="s">
        <v>61</v>
      </c>
      <c r="O52" s="8" t="s">
        <v>50</v>
      </c>
      <c r="P52" s="8">
        <v>20</v>
      </c>
      <c r="Q52" s="8">
        <v>306</v>
      </c>
      <c r="R52" s="8">
        <v>21</v>
      </c>
      <c r="S52" s="8">
        <v>45.178758000000002</v>
      </c>
      <c r="T52" s="8" t="s">
        <v>46</v>
      </c>
      <c r="U52" s="8">
        <v>4.7548009999999996</v>
      </c>
      <c r="V52" s="8" t="s">
        <v>47</v>
      </c>
      <c r="W52" s="8" t="s">
        <v>32</v>
      </c>
      <c r="X52" s="9">
        <v>496.24865</v>
      </c>
    </row>
    <row r="53" spans="1:24" x14ac:dyDescent="0.3">
      <c r="A53" s="10" t="s">
        <v>24</v>
      </c>
      <c r="B53" s="11" t="s">
        <v>105</v>
      </c>
      <c r="C53" s="11">
        <v>26.700761</v>
      </c>
      <c r="D53" s="11">
        <v>61</v>
      </c>
      <c r="E53" s="11">
        <v>154</v>
      </c>
      <c r="F53" s="11">
        <v>9866.4654580000006</v>
      </c>
      <c r="G53" s="11" t="s">
        <v>55</v>
      </c>
      <c r="H53" s="11">
        <v>100</v>
      </c>
      <c r="I53" s="11">
        <v>4</v>
      </c>
      <c r="J53" s="11">
        <v>52</v>
      </c>
      <c r="K53" s="11">
        <v>1</v>
      </c>
      <c r="L53" s="11" t="s">
        <v>36</v>
      </c>
      <c r="M53" s="11">
        <v>4.7830009999999996</v>
      </c>
      <c r="N53" s="11" t="s">
        <v>44</v>
      </c>
      <c r="O53" s="11" t="s">
        <v>53</v>
      </c>
      <c r="P53" s="11">
        <v>18</v>
      </c>
      <c r="Q53" s="11">
        <v>673</v>
      </c>
      <c r="R53" s="11">
        <v>28</v>
      </c>
      <c r="S53" s="11">
        <v>14.190327999999999</v>
      </c>
      <c r="T53" s="11" t="s">
        <v>30</v>
      </c>
      <c r="U53" s="11">
        <v>1.7729509999999999</v>
      </c>
      <c r="V53" s="11" t="s">
        <v>31</v>
      </c>
      <c r="W53" s="11" t="s">
        <v>48</v>
      </c>
      <c r="X53" s="12">
        <v>694.98231799999996</v>
      </c>
    </row>
    <row r="54" spans="1:24" x14ac:dyDescent="0.3">
      <c r="A54" s="7" t="s">
        <v>33</v>
      </c>
      <c r="B54" s="8" t="s">
        <v>106</v>
      </c>
      <c r="C54" s="8">
        <v>98.031829999999999</v>
      </c>
      <c r="D54" s="8">
        <v>1</v>
      </c>
      <c r="E54" s="8">
        <v>820</v>
      </c>
      <c r="F54" s="8">
        <v>9435.7626089999994</v>
      </c>
      <c r="G54" s="8" t="s">
        <v>55</v>
      </c>
      <c r="H54" s="8">
        <v>64</v>
      </c>
      <c r="I54" s="8">
        <v>11</v>
      </c>
      <c r="J54" s="8">
        <v>11</v>
      </c>
      <c r="K54" s="8">
        <v>1</v>
      </c>
      <c r="L54" s="8" t="s">
        <v>27</v>
      </c>
      <c r="M54" s="8">
        <v>8.6310520000000004</v>
      </c>
      <c r="N54" s="8" t="s">
        <v>39</v>
      </c>
      <c r="O54" s="8" t="s">
        <v>29</v>
      </c>
      <c r="P54" s="8">
        <v>10</v>
      </c>
      <c r="Q54" s="8">
        <v>727</v>
      </c>
      <c r="R54" s="8">
        <v>27</v>
      </c>
      <c r="S54" s="8">
        <v>9.1668489999999991</v>
      </c>
      <c r="T54" s="8" t="s">
        <v>30</v>
      </c>
      <c r="U54" s="8">
        <v>2.1224720000000001</v>
      </c>
      <c r="V54" s="8" t="s">
        <v>40</v>
      </c>
      <c r="W54" s="8" t="s">
        <v>41</v>
      </c>
      <c r="X54" s="9">
        <v>602.89849900000002</v>
      </c>
    </row>
    <row r="55" spans="1:24" x14ac:dyDescent="0.3">
      <c r="A55" s="10" t="s">
        <v>33</v>
      </c>
      <c r="B55" s="11" t="s">
        <v>107</v>
      </c>
      <c r="C55" s="11">
        <v>30.341470999999999</v>
      </c>
      <c r="D55" s="11">
        <v>93</v>
      </c>
      <c r="E55" s="11">
        <v>242</v>
      </c>
      <c r="F55" s="11">
        <v>8232.3348289999994</v>
      </c>
      <c r="G55" s="11" t="s">
        <v>55</v>
      </c>
      <c r="H55" s="11">
        <v>96</v>
      </c>
      <c r="I55" s="11">
        <v>25</v>
      </c>
      <c r="J55" s="11">
        <v>54</v>
      </c>
      <c r="K55" s="11">
        <v>3</v>
      </c>
      <c r="L55" s="11" t="s">
        <v>27</v>
      </c>
      <c r="M55" s="11">
        <v>1.013487</v>
      </c>
      <c r="N55" s="11" t="s">
        <v>39</v>
      </c>
      <c r="O55" s="11" t="s">
        <v>50</v>
      </c>
      <c r="P55" s="11">
        <v>1</v>
      </c>
      <c r="Q55" s="11">
        <v>631</v>
      </c>
      <c r="R55" s="11">
        <v>17</v>
      </c>
      <c r="S55" s="11">
        <v>83.344059000000001</v>
      </c>
      <c r="T55" s="11" t="s">
        <v>30</v>
      </c>
      <c r="U55" s="11">
        <v>1.4103479999999999</v>
      </c>
      <c r="V55" s="11" t="s">
        <v>40</v>
      </c>
      <c r="W55" s="11" t="s">
        <v>32</v>
      </c>
      <c r="X55" s="12">
        <v>750.737841</v>
      </c>
    </row>
    <row r="56" spans="1:24" x14ac:dyDescent="0.3">
      <c r="A56" s="7" t="s">
        <v>24</v>
      </c>
      <c r="B56" s="8" t="s">
        <v>108</v>
      </c>
      <c r="C56" s="8">
        <v>31.146242999999998</v>
      </c>
      <c r="D56" s="8">
        <v>11</v>
      </c>
      <c r="E56" s="8">
        <v>622</v>
      </c>
      <c r="F56" s="8">
        <v>6088.0214800000003</v>
      </c>
      <c r="G56" s="8" t="s">
        <v>26</v>
      </c>
      <c r="H56" s="8">
        <v>33</v>
      </c>
      <c r="I56" s="8">
        <v>22</v>
      </c>
      <c r="J56" s="8">
        <v>61</v>
      </c>
      <c r="K56" s="8">
        <v>3</v>
      </c>
      <c r="L56" s="8" t="s">
        <v>27</v>
      </c>
      <c r="M56" s="8">
        <v>4.3051029999999999</v>
      </c>
      <c r="N56" s="8" t="s">
        <v>39</v>
      </c>
      <c r="O56" s="8" t="s">
        <v>45</v>
      </c>
      <c r="P56" s="8">
        <v>26</v>
      </c>
      <c r="Q56" s="8">
        <v>497</v>
      </c>
      <c r="R56" s="8">
        <v>29</v>
      </c>
      <c r="S56" s="8">
        <v>30.186022999999999</v>
      </c>
      <c r="T56" s="8" t="s">
        <v>64</v>
      </c>
      <c r="U56" s="8">
        <v>2.4787720000000002</v>
      </c>
      <c r="V56" s="8" t="s">
        <v>31</v>
      </c>
      <c r="W56" s="8" t="s">
        <v>32</v>
      </c>
      <c r="X56" s="9">
        <v>814.06999699999994</v>
      </c>
    </row>
    <row r="57" spans="1:24" x14ac:dyDescent="0.3">
      <c r="A57" s="10" t="s">
        <v>24</v>
      </c>
      <c r="B57" s="11" t="s">
        <v>109</v>
      </c>
      <c r="C57" s="11">
        <v>79.855058</v>
      </c>
      <c r="D57" s="11">
        <v>16</v>
      </c>
      <c r="E57" s="11">
        <v>701</v>
      </c>
      <c r="F57" s="11">
        <v>2925.67517</v>
      </c>
      <c r="G57" s="11" t="s">
        <v>55</v>
      </c>
      <c r="H57" s="11">
        <v>97</v>
      </c>
      <c r="I57" s="11">
        <v>11</v>
      </c>
      <c r="J57" s="11">
        <v>11</v>
      </c>
      <c r="K57" s="11">
        <v>5</v>
      </c>
      <c r="L57" s="11" t="s">
        <v>36</v>
      </c>
      <c r="M57" s="11">
        <v>5.0143649999999997</v>
      </c>
      <c r="N57" s="11" t="s">
        <v>61</v>
      </c>
      <c r="O57" s="11" t="s">
        <v>50</v>
      </c>
      <c r="P57" s="11">
        <v>27</v>
      </c>
      <c r="Q57" s="11">
        <v>918</v>
      </c>
      <c r="R57" s="11">
        <v>5</v>
      </c>
      <c r="S57" s="11">
        <v>30.323544999999999</v>
      </c>
      <c r="T57" s="11" t="s">
        <v>46</v>
      </c>
      <c r="U57" s="11">
        <v>4.5489199999999999</v>
      </c>
      <c r="V57" s="11" t="s">
        <v>56</v>
      </c>
      <c r="W57" s="11" t="s">
        <v>32</v>
      </c>
      <c r="X57" s="12">
        <v>323.01292799999999</v>
      </c>
    </row>
    <row r="58" spans="1:24" x14ac:dyDescent="0.3">
      <c r="A58" s="7" t="s">
        <v>33</v>
      </c>
      <c r="B58" s="8" t="s">
        <v>110</v>
      </c>
      <c r="C58" s="8">
        <v>20.986386</v>
      </c>
      <c r="D58" s="8">
        <v>90</v>
      </c>
      <c r="E58" s="8">
        <v>93</v>
      </c>
      <c r="F58" s="8">
        <v>4767.0204839999997</v>
      </c>
      <c r="G58" s="8" t="s">
        <v>26</v>
      </c>
      <c r="H58" s="8">
        <v>25</v>
      </c>
      <c r="I58" s="8">
        <v>23</v>
      </c>
      <c r="J58" s="8">
        <v>83</v>
      </c>
      <c r="K58" s="8">
        <v>5</v>
      </c>
      <c r="L58" s="8" t="s">
        <v>43</v>
      </c>
      <c r="M58" s="8">
        <v>1.77443</v>
      </c>
      <c r="N58" s="8" t="s">
        <v>39</v>
      </c>
      <c r="O58" s="8" t="s">
        <v>29</v>
      </c>
      <c r="P58" s="8">
        <v>24</v>
      </c>
      <c r="Q58" s="8">
        <v>826</v>
      </c>
      <c r="R58" s="8">
        <v>28</v>
      </c>
      <c r="S58" s="8">
        <v>12.836285</v>
      </c>
      <c r="T58" s="8" t="s">
        <v>64</v>
      </c>
      <c r="U58" s="8">
        <v>1.1737550000000001</v>
      </c>
      <c r="V58" s="8" t="s">
        <v>40</v>
      </c>
      <c r="W58" s="8" t="s">
        <v>32</v>
      </c>
      <c r="X58" s="9">
        <v>832.21080900000004</v>
      </c>
    </row>
    <row r="59" spans="1:24" x14ac:dyDescent="0.3">
      <c r="A59" s="10" t="s">
        <v>24</v>
      </c>
      <c r="B59" s="11" t="s">
        <v>111</v>
      </c>
      <c r="C59" s="11">
        <v>49.263204999999999</v>
      </c>
      <c r="D59" s="11">
        <v>65</v>
      </c>
      <c r="E59" s="11">
        <v>227</v>
      </c>
      <c r="F59" s="11">
        <v>1605.8669</v>
      </c>
      <c r="G59" s="11" t="s">
        <v>38</v>
      </c>
      <c r="H59" s="11">
        <v>5</v>
      </c>
      <c r="I59" s="11">
        <v>18</v>
      </c>
      <c r="J59" s="11">
        <v>51</v>
      </c>
      <c r="K59" s="11">
        <v>1</v>
      </c>
      <c r="L59" s="11" t="s">
        <v>27</v>
      </c>
      <c r="M59" s="11">
        <v>9.1605589999999992</v>
      </c>
      <c r="N59" s="11" t="s">
        <v>61</v>
      </c>
      <c r="O59" s="11" t="s">
        <v>50</v>
      </c>
      <c r="P59" s="11">
        <v>21</v>
      </c>
      <c r="Q59" s="11">
        <v>588</v>
      </c>
      <c r="R59" s="11">
        <v>25</v>
      </c>
      <c r="S59" s="11">
        <v>67.779623000000001</v>
      </c>
      <c r="T59" s="11" t="s">
        <v>30</v>
      </c>
      <c r="U59" s="11">
        <v>2.5111750000000002</v>
      </c>
      <c r="V59" s="11" t="s">
        <v>47</v>
      </c>
      <c r="W59" s="11" t="s">
        <v>48</v>
      </c>
      <c r="X59" s="12">
        <v>482.191239</v>
      </c>
    </row>
    <row r="60" spans="1:24" x14ac:dyDescent="0.3">
      <c r="A60" s="7" t="s">
        <v>33</v>
      </c>
      <c r="B60" s="8" t="s">
        <v>112</v>
      </c>
      <c r="C60" s="8">
        <v>59.841560999999999</v>
      </c>
      <c r="D60" s="8">
        <v>81</v>
      </c>
      <c r="E60" s="8">
        <v>896</v>
      </c>
      <c r="F60" s="8">
        <v>2021.1498099999999</v>
      </c>
      <c r="G60" s="8" t="s">
        <v>26</v>
      </c>
      <c r="H60" s="8">
        <v>10</v>
      </c>
      <c r="I60" s="8">
        <v>5</v>
      </c>
      <c r="J60" s="8">
        <v>44</v>
      </c>
      <c r="K60" s="8">
        <v>7</v>
      </c>
      <c r="L60" s="8" t="s">
        <v>36</v>
      </c>
      <c r="M60" s="8">
        <v>4.9384389999999998</v>
      </c>
      <c r="N60" s="8" t="s">
        <v>28</v>
      </c>
      <c r="O60" s="8" t="s">
        <v>50</v>
      </c>
      <c r="P60" s="8">
        <v>18</v>
      </c>
      <c r="Q60" s="8">
        <v>396</v>
      </c>
      <c r="R60" s="8">
        <v>7</v>
      </c>
      <c r="S60" s="8">
        <v>65.047415000000001</v>
      </c>
      <c r="T60" s="8" t="s">
        <v>46</v>
      </c>
      <c r="U60" s="8">
        <v>1.730375</v>
      </c>
      <c r="V60" s="8" t="s">
        <v>31</v>
      </c>
      <c r="W60" s="8" t="s">
        <v>32</v>
      </c>
      <c r="X60" s="9">
        <v>110.364335</v>
      </c>
    </row>
    <row r="61" spans="1:24" x14ac:dyDescent="0.3">
      <c r="A61" s="10" t="s">
        <v>57</v>
      </c>
      <c r="B61" s="11" t="s">
        <v>113</v>
      </c>
      <c r="C61" s="11">
        <v>63.828398</v>
      </c>
      <c r="D61" s="11">
        <v>30</v>
      </c>
      <c r="E61" s="11">
        <v>484</v>
      </c>
      <c r="F61" s="11">
        <v>1061.6185230000001</v>
      </c>
      <c r="G61" s="11" t="s">
        <v>26</v>
      </c>
      <c r="H61" s="11">
        <v>100</v>
      </c>
      <c r="I61" s="11">
        <v>16</v>
      </c>
      <c r="J61" s="11">
        <v>26</v>
      </c>
      <c r="K61" s="11">
        <v>7</v>
      </c>
      <c r="L61" s="11" t="s">
        <v>27</v>
      </c>
      <c r="M61" s="11">
        <v>7.293723</v>
      </c>
      <c r="N61" s="11" t="s">
        <v>39</v>
      </c>
      <c r="O61" s="11" t="s">
        <v>45</v>
      </c>
      <c r="P61" s="11">
        <v>11</v>
      </c>
      <c r="Q61" s="11">
        <v>176</v>
      </c>
      <c r="R61" s="11">
        <v>4</v>
      </c>
      <c r="S61" s="11">
        <v>1.9007620000000001</v>
      </c>
      <c r="T61" s="11" t="s">
        <v>46</v>
      </c>
      <c r="U61" s="11">
        <v>0.44719399999999998</v>
      </c>
      <c r="V61" s="11" t="s">
        <v>40</v>
      </c>
      <c r="W61" s="11" t="s">
        <v>48</v>
      </c>
      <c r="X61" s="12">
        <v>312.574274</v>
      </c>
    </row>
    <row r="62" spans="1:24" x14ac:dyDescent="0.3">
      <c r="A62" s="7" t="s">
        <v>33</v>
      </c>
      <c r="B62" s="8" t="s">
        <v>114</v>
      </c>
      <c r="C62" s="8">
        <v>17.028027999999999</v>
      </c>
      <c r="D62" s="8">
        <v>16</v>
      </c>
      <c r="E62" s="8">
        <v>380</v>
      </c>
      <c r="F62" s="8">
        <v>8864.0843499999992</v>
      </c>
      <c r="G62" s="8" t="s">
        <v>35</v>
      </c>
      <c r="H62" s="8">
        <v>41</v>
      </c>
      <c r="I62" s="8">
        <v>27</v>
      </c>
      <c r="J62" s="8">
        <v>72</v>
      </c>
      <c r="K62" s="8">
        <v>8</v>
      </c>
      <c r="L62" s="8" t="s">
        <v>43</v>
      </c>
      <c r="M62" s="8">
        <v>4.3813680000000002</v>
      </c>
      <c r="N62" s="8" t="s">
        <v>52</v>
      </c>
      <c r="O62" s="8" t="s">
        <v>29</v>
      </c>
      <c r="P62" s="8">
        <v>29</v>
      </c>
      <c r="Q62" s="8">
        <v>929</v>
      </c>
      <c r="R62" s="8">
        <v>24</v>
      </c>
      <c r="S62" s="8">
        <v>87.213058000000004</v>
      </c>
      <c r="T62" s="8" t="s">
        <v>46</v>
      </c>
      <c r="U62" s="8">
        <v>2.853091</v>
      </c>
      <c r="V62" s="8" t="s">
        <v>47</v>
      </c>
      <c r="W62" s="8" t="s">
        <v>48</v>
      </c>
      <c r="X62" s="9">
        <v>430.16909700000002</v>
      </c>
    </row>
    <row r="63" spans="1:24" x14ac:dyDescent="0.3">
      <c r="A63" s="10" t="s">
        <v>24</v>
      </c>
      <c r="B63" s="11" t="s">
        <v>115</v>
      </c>
      <c r="C63" s="11">
        <v>52.028750000000002</v>
      </c>
      <c r="D63" s="11">
        <v>23</v>
      </c>
      <c r="E63" s="11">
        <v>117</v>
      </c>
      <c r="F63" s="11">
        <v>6885.5893509999996</v>
      </c>
      <c r="G63" s="11" t="s">
        <v>38</v>
      </c>
      <c r="H63" s="11">
        <v>32</v>
      </c>
      <c r="I63" s="11">
        <v>23</v>
      </c>
      <c r="J63" s="11">
        <v>36</v>
      </c>
      <c r="K63" s="11">
        <v>7</v>
      </c>
      <c r="L63" s="11" t="s">
        <v>43</v>
      </c>
      <c r="M63" s="11">
        <v>9.0303400000000007</v>
      </c>
      <c r="N63" s="11" t="s">
        <v>52</v>
      </c>
      <c r="O63" s="11" t="s">
        <v>45</v>
      </c>
      <c r="P63" s="11">
        <v>14</v>
      </c>
      <c r="Q63" s="11">
        <v>480</v>
      </c>
      <c r="R63" s="11">
        <v>12</v>
      </c>
      <c r="S63" s="11">
        <v>78.702393999999998</v>
      </c>
      <c r="T63" s="11" t="s">
        <v>46</v>
      </c>
      <c r="U63" s="11">
        <v>4.3674710000000001</v>
      </c>
      <c r="V63" s="11" t="s">
        <v>40</v>
      </c>
      <c r="W63" s="11" t="s">
        <v>48</v>
      </c>
      <c r="X63" s="12">
        <v>164.36652799999999</v>
      </c>
    </row>
    <row r="64" spans="1:24" x14ac:dyDescent="0.3">
      <c r="A64" s="7" t="s">
        <v>57</v>
      </c>
      <c r="B64" s="8" t="s">
        <v>116</v>
      </c>
      <c r="C64" s="8">
        <v>72.796353999999994</v>
      </c>
      <c r="D64" s="8">
        <v>89</v>
      </c>
      <c r="E64" s="8">
        <v>270</v>
      </c>
      <c r="F64" s="8">
        <v>3899.746834</v>
      </c>
      <c r="G64" s="8" t="s">
        <v>38</v>
      </c>
      <c r="H64" s="8">
        <v>86</v>
      </c>
      <c r="I64" s="8">
        <v>2</v>
      </c>
      <c r="J64" s="8">
        <v>40</v>
      </c>
      <c r="K64" s="8">
        <v>7</v>
      </c>
      <c r="L64" s="8" t="s">
        <v>43</v>
      </c>
      <c r="M64" s="8">
        <v>7.2917009999999998</v>
      </c>
      <c r="N64" s="8" t="s">
        <v>61</v>
      </c>
      <c r="O64" s="8" t="s">
        <v>29</v>
      </c>
      <c r="P64" s="8">
        <v>13</v>
      </c>
      <c r="Q64" s="8">
        <v>751</v>
      </c>
      <c r="R64" s="8">
        <v>14</v>
      </c>
      <c r="S64" s="8">
        <v>21.048642999999998</v>
      </c>
      <c r="T64" s="8" t="s">
        <v>64</v>
      </c>
      <c r="U64" s="8">
        <v>1.874001</v>
      </c>
      <c r="V64" s="8" t="s">
        <v>56</v>
      </c>
      <c r="W64" s="8" t="s">
        <v>41</v>
      </c>
      <c r="X64" s="9">
        <v>320.84651600000001</v>
      </c>
    </row>
    <row r="65" spans="1:24" x14ac:dyDescent="0.3">
      <c r="A65" s="10" t="s">
        <v>33</v>
      </c>
      <c r="B65" s="11" t="s">
        <v>117</v>
      </c>
      <c r="C65" s="11">
        <v>13.017377</v>
      </c>
      <c r="D65" s="11">
        <v>55</v>
      </c>
      <c r="E65" s="11">
        <v>246</v>
      </c>
      <c r="F65" s="11">
        <v>4256.9491410000001</v>
      </c>
      <c r="G65" s="11" t="s">
        <v>26</v>
      </c>
      <c r="H65" s="11">
        <v>54</v>
      </c>
      <c r="I65" s="11">
        <v>19</v>
      </c>
      <c r="J65" s="11">
        <v>10</v>
      </c>
      <c r="K65" s="11">
        <v>4</v>
      </c>
      <c r="L65" s="11" t="s">
        <v>36</v>
      </c>
      <c r="M65" s="11">
        <v>2.4579339999999998</v>
      </c>
      <c r="N65" s="11" t="s">
        <v>28</v>
      </c>
      <c r="O65" s="11" t="s">
        <v>53</v>
      </c>
      <c r="P65" s="11">
        <v>18</v>
      </c>
      <c r="Q65" s="11">
        <v>736</v>
      </c>
      <c r="R65" s="11">
        <v>10</v>
      </c>
      <c r="S65" s="11">
        <v>20.075004</v>
      </c>
      <c r="T65" s="11" t="s">
        <v>30</v>
      </c>
      <c r="U65" s="11">
        <v>3.6328429999999998</v>
      </c>
      <c r="V65" s="11" t="s">
        <v>56</v>
      </c>
      <c r="W65" s="11" t="s">
        <v>48</v>
      </c>
      <c r="X65" s="12">
        <v>687.28617799999995</v>
      </c>
    </row>
    <row r="66" spans="1:24" x14ac:dyDescent="0.3">
      <c r="A66" s="7" t="s">
        <v>33</v>
      </c>
      <c r="B66" s="8" t="s">
        <v>118</v>
      </c>
      <c r="C66" s="8">
        <v>89.634096</v>
      </c>
      <c r="D66" s="8">
        <v>11</v>
      </c>
      <c r="E66" s="8">
        <v>134</v>
      </c>
      <c r="F66" s="8">
        <v>8458.7308780000003</v>
      </c>
      <c r="G66" s="8" t="s">
        <v>35</v>
      </c>
      <c r="H66" s="8">
        <v>73</v>
      </c>
      <c r="I66" s="8">
        <v>27</v>
      </c>
      <c r="J66" s="8">
        <v>75</v>
      </c>
      <c r="K66" s="8">
        <v>6</v>
      </c>
      <c r="L66" s="8" t="s">
        <v>43</v>
      </c>
      <c r="M66" s="8">
        <v>4.5853529999999996</v>
      </c>
      <c r="N66" s="8" t="s">
        <v>39</v>
      </c>
      <c r="O66" s="8" t="s">
        <v>50</v>
      </c>
      <c r="P66" s="8">
        <v>17</v>
      </c>
      <c r="Q66" s="8">
        <v>328</v>
      </c>
      <c r="R66" s="8">
        <v>6</v>
      </c>
      <c r="S66" s="8">
        <v>8.6930420000000002</v>
      </c>
      <c r="T66" s="8" t="s">
        <v>46</v>
      </c>
      <c r="U66" s="8">
        <v>0.15948599999999999</v>
      </c>
      <c r="V66" s="8" t="s">
        <v>40</v>
      </c>
      <c r="W66" s="8" t="s">
        <v>41</v>
      </c>
      <c r="X66" s="9">
        <v>771.22508500000004</v>
      </c>
    </row>
    <row r="67" spans="1:24" x14ac:dyDescent="0.3">
      <c r="A67" s="10" t="s">
        <v>33</v>
      </c>
      <c r="B67" s="11" t="s">
        <v>119</v>
      </c>
      <c r="C67" s="11">
        <v>33.697716999999997</v>
      </c>
      <c r="D67" s="11">
        <v>72</v>
      </c>
      <c r="E67" s="11">
        <v>457</v>
      </c>
      <c r="F67" s="11">
        <v>8354.5796859999991</v>
      </c>
      <c r="G67" s="11" t="s">
        <v>55</v>
      </c>
      <c r="H67" s="11">
        <v>57</v>
      </c>
      <c r="I67" s="11">
        <v>24</v>
      </c>
      <c r="J67" s="11">
        <v>54</v>
      </c>
      <c r="K67" s="11">
        <v>8</v>
      </c>
      <c r="L67" s="11" t="s">
        <v>43</v>
      </c>
      <c r="M67" s="11">
        <v>6.5805410000000002</v>
      </c>
      <c r="N67" s="11" t="s">
        <v>44</v>
      </c>
      <c r="O67" s="11" t="s">
        <v>45</v>
      </c>
      <c r="P67" s="11">
        <v>16</v>
      </c>
      <c r="Q67" s="11">
        <v>358</v>
      </c>
      <c r="R67" s="11">
        <v>21</v>
      </c>
      <c r="S67" s="11">
        <v>1.5972230000000001</v>
      </c>
      <c r="T67" s="11" t="s">
        <v>46</v>
      </c>
      <c r="U67" s="11">
        <v>4.9110959999999997</v>
      </c>
      <c r="V67" s="11" t="s">
        <v>47</v>
      </c>
      <c r="W67" s="11" t="s">
        <v>41</v>
      </c>
      <c r="X67" s="12">
        <v>555.859104</v>
      </c>
    </row>
    <row r="68" spans="1:24" x14ac:dyDescent="0.3">
      <c r="A68" s="7" t="s">
        <v>33</v>
      </c>
      <c r="B68" s="8" t="s">
        <v>120</v>
      </c>
      <c r="C68" s="8">
        <v>26.034870000000002</v>
      </c>
      <c r="D68" s="8">
        <v>52</v>
      </c>
      <c r="E68" s="8">
        <v>704</v>
      </c>
      <c r="F68" s="8">
        <v>8367.7216179999996</v>
      </c>
      <c r="G68" s="8" t="s">
        <v>35</v>
      </c>
      <c r="H68" s="8">
        <v>13</v>
      </c>
      <c r="I68" s="8">
        <v>17</v>
      </c>
      <c r="J68" s="8">
        <v>19</v>
      </c>
      <c r="K68" s="8">
        <v>8</v>
      </c>
      <c r="L68" s="8" t="s">
        <v>36</v>
      </c>
      <c r="M68" s="8">
        <v>2.2161430000000002</v>
      </c>
      <c r="N68" s="8" t="s">
        <v>44</v>
      </c>
      <c r="O68" s="8" t="s">
        <v>45</v>
      </c>
      <c r="P68" s="8">
        <v>24</v>
      </c>
      <c r="Q68" s="8">
        <v>867</v>
      </c>
      <c r="R68" s="8">
        <v>28</v>
      </c>
      <c r="S68" s="8">
        <v>42.084437000000001</v>
      </c>
      <c r="T68" s="8" t="s">
        <v>46</v>
      </c>
      <c r="U68" s="8">
        <v>3.4480629999999999</v>
      </c>
      <c r="V68" s="8" t="s">
        <v>31</v>
      </c>
      <c r="W68" s="8" t="s">
        <v>48</v>
      </c>
      <c r="X68" s="9">
        <v>393.84334899999999</v>
      </c>
    </row>
    <row r="69" spans="1:24" x14ac:dyDescent="0.3">
      <c r="A69" s="10" t="s">
        <v>33</v>
      </c>
      <c r="B69" s="11" t="s">
        <v>121</v>
      </c>
      <c r="C69" s="11">
        <v>87.755431999999999</v>
      </c>
      <c r="D69" s="11">
        <v>16</v>
      </c>
      <c r="E69" s="11">
        <v>513</v>
      </c>
      <c r="F69" s="11">
        <v>9473.7980329999991</v>
      </c>
      <c r="G69" s="11" t="s">
        <v>38</v>
      </c>
      <c r="H69" s="11">
        <v>12</v>
      </c>
      <c r="I69" s="11">
        <v>9</v>
      </c>
      <c r="J69" s="11">
        <v>71</v>
      </c>
      <c r="K69" s="11">
        <v>9</v>
      </c>
      <c r="L69" s="11" t="s">
        <v>43</v>
      </c>
      <c r="M69" s="11">
        <v>9.1478120000000001</v>
      </c>
      <c r="N69" s="11" t="s">
        <v>39</v>
      </c>
      <c r="O69" s="11" t="s">
        <v>29</v>
      </c>
      <c r="P69" s="11">
        <v>10</v>
      </c>
      <c r="Q69" s="11">
        <v>198</v>
      </c>
      <c r="R69" s="11">
        <v>11</v>
      </c>
      <c r="S69" s="11">
        <v>7.0578760000000003</v>
      </c>
      <c r="T69" s="11" t="s">
        <v>64</v>
      </c>
      <c r="U69" s="11">
        <v>0.13195499999999999</v>
      </c>
      <c r="V69" s="11" t="s">
        <v>56</v>
      </c>
      <c r="W69" s="11" t="s">
        <v>41</v>
      </c>
      <c r="X69" s="12">
        <v>169.27180100000001</v>
      </c>
    </row>
    <row r="70" spans="1:24" x14ac:dyDescent="0.3">
      <c r="A70" s="7" t="s">
        <v>24</v>
      </c>
      <c r="B70" s="8" t="s">
        <v>122</v>
      </c>
      <c r="C70" s="8">
        <v>37.931812000000001</v>
      </c>
      <c r="D70" s="8">
        <v>29</v>
      </c>
      <c r="E70" s="8">
        <v>163</v>
      </c>
      <c r="F70" s="8">
        <v>3550.218433</v>
      </c>
      <c r="G70" s="8" t="s">
        <v>26</v>
      </c>
      <c r="H70" s="8">
        <v>0</v>
      </c>
      <c r="I70" s="8">
        <v>8</v>
      </c>
      <c r="J70" s="8">
        <v>58</v>
      </c>
      <c r="K70" s="8">
        <v>8</v>
      </c>
      <c r="L70" s="8" t="s">
        <v>27</v>
      </c>
      <c r="M70" s="8">
        <v>1.1942520000000001</v>
      </c>
      <c r="N70" s="8" t="s">
        <v>61</v>
      </c>
      <c r="O70" s="8" t="s">
        <v>53</v>
      </c>
      <c r="P70" s="8">
        <v>2</v>
      </c>
      <c r="Q70" s="8">
        <v>375</v>
      </c>
      <c r="R70" s="8">
        <v>18</v>
      </c>
      <c r="S70" s="8">
        <v>97.113581999999994</v>
      </c>
      <c r="T70" s="8" t="s">
        <v>46</v>
      </c>
      <c r="U70" s="8">
        <v>1.983468</v>
      </c>
      <c r="V70" s="8" t="s">
        <v>47</v>
      </c>
      <c r="W70" s="8" t="s">
        <v>48</v>
      </c>
      <c r="X70" s="9">
        <v>299.70630299999999</v>
      </c>
    </row>
    <row r="71" spans="1:24" x14ac:dyDescent="0.3">
      <c r="A71" s="10" t="s">
        <v>33</v>
      </c>
      <c r="B71" s="11" t="s">
        <v>123</v>
      </c>
      <c r="C71" s="11">
        <v>54.865529000000002</v>
      </c>
      <c r="D71" s="11">
        <v>62</v>
      </c>
      <c r="E71" s="11">
        <v>511</v>
      </c>
      <c r="F71" s="11">
        <v>1752.381087</v>
      </c>
      <c r="G71" s="11" t="s">
        <v>26</v>
      </c>
      <c r="H71" s="11">
        <v>95</v>
      </c>
      <c r="I71" s="11">
        <v>1</v>
      </c>
      <c r="J71" s="11">
        <v>27</v>
      </c>
      <c r="K71" s="11">
        <v>3</v>
      </c>
      <c r="L71" s="11" t="s">
        <v>27</v>
      </c>
      <c r="M71" s="11">
        <v>9.7052870000000002</v>
      </c>
      <c r="N71" s="11" t="s">
        <v>52</v>
      </c>
      <c r="O71" s="11" t="s">
        <v>45</v>
      </c>
      <c r="P71" s="11">
        <v>9</v>
      </c>
      <c r="Q71" s="11">
        <v>862</v>
      </c>
      <c r="R71" s="11">
        <v>7</v>
      </c>
      <c r="S71" s="11">
        <v>77.627765999999994</v>
      </c>
      <c r="T71" s="11" t="s">
        <v>30</v>
      </c>
      <c r="U71" s="11">
        <v>1.3623879999999999</v>
      </c>
      <c r="V71" s="11" t="s">
        <v>40</v>
      </c>
      <c r="W71" s="11" t="s">
        <v>48</v>
      </c>
      <c r="X71" s="12">
        <v>207.663206</v>
      </c>
    </row>
    <row r="72" spans="1:24" x14ac:dyDescent="0.3">
      <c r="A72" s="7" t="s">
        <v>24</v>
      </c>
      <c r="B72" s="8" t="s">
        <v>124</v>
      </c>
      <c r="C72" s="8">
        <v>47.914541999999997</v>
      </c>
      <c r="D72" s="8">
        <v>90</v>
      </c>
      <c r="E72" s="8">
        <v>32</v>
      </c>
      <c r="F72" s="8">
        <v>7014.8879870000001</v>
      </c>
      <c r="G72" s="8" t="s">
        <v>35</v>
      </c>
      <c r="H72" s="8">
        <v>10</v>
      </c>
      <c r="I72" s="8">
        <v>12</v>
      </c>
      <c r="J72" s="8">
        <v>22</v>
      </c>
      <c r="K72" s="8">
        <v>4</v>
      </c>
      <c r="L72" s="8" t="s">
        <v>27</v>
      </c>
      <c r="M72" s="8">
        <v>6.3157180000000004</v>
      </c>
      <c r="N72" s="8" t="s">
        <v>39</v>
      </c>
      <c r="O72" s="8" t="s">
        <v>53</v>
      </c>
      <c r="P72" s="8">
        <v>22</v>
      </c>
      <c r="Q72" s="8">
        <v>775</v>
      </c>
      <c r="R72" s="8">
        <v>16</v>
      </c>
      <c r="S72" s="8">
        <v>11.440782</v>
      </c>
      <c r="T72" s="8" t="s">
        <v>64</v>
      </c>
      <c r="U72" s="8">
        <v>1.830576</v>
      </c>
      <c r="V72" s="8" t="s">
        <v>31</v>
      </c>
      <c r="W72" s="8" t="s">
        <v>41</v>
      </c>
      <c r="X72" s="9">
        <v>183.272899</v>
      </c>
    </row>
    <row r="73" spans="1:24" x14ac:dyDescent="0.3">
      <c r="A73" s="10" t="s">
        <v>57</v>
      </c>
      <c r="B73" s="11" t="s">
        <v>125</v>
      </c>
      <c r="C73" s="11">
        <v>6.3815330000000001</v>
      </c>
      <c r="D73" s="11">
        <v>14</v>
      </c>
      <c r="E73" s="11">
        <v>637</v>
      </c>
      <c r="F73" s="11">
        <v>8180.3370850000001</v>
      </c>
      <c r="G73" s="11" t="s">
        <v>35</v>
      </c>
      <c r="H73" s="11">
        <v>76</v>
      </c>
      <c r="I73" s="11">
        <v>2</v>
      </c>
      <c r="J73" s="11">
        <v>26</v>
      </c>
      <c r="K73" s="11">
        <v>6</v>
      </c>
      <c r="L73" s="11" t="s">
        <v>36</v>
      </c>
      <c r="M73" s="11">
        <v>9.2281899999999997</v>
      </c>
      <c r="N73" s="11" t="s">
        <v>61</v>
      </c>
      <c r="O73" s="11" t="s">
        <v>53</v>
      </c>
      <c r="P73" s="11">
        <v>2</v>
      </c>
      <c r="Q73" s="11">
        <v>258</v>
      </c>
      <c r="R73" s="11">
        <v>10</v>
      </c>
      <c r="S73" s="11">
        <v>30.661677000000001</v>
      </c>
      <c r="T73" s="11" t="s">
        <v>30</v>
      </c>
      <c r="U73" s="11">
        <v>2.078751</v>
      </c>
      <c r="V73" s="11" t="s">
        <v>31</v>
      </c>
      <c r="W73" s="11" t="s">
        <v>48</v>
      </c>
      <c r="X73" s="12">
        <v>405.16706799999997</v>
      </c>
    </row>
    <row r="74" spans="1:24" x14ac:dyDescent="0.3">
      <c r="A74" s="7" t="s">
        <v>57</v>
      </c>
      <c r="B74" s="8" t="s">
        <v>126</v>
      </c>
      <c r="C74" s="8">
        <v>90.204427999999993</v>
      </c>
      <c r="D74" s="8">
        <v>88</v>
      </c>
      <c r="E74" s="8">
        <v>478</v>
      </c>
      <c r="F74" s="8">
        <v>2633.1219809999998</v>
      </c>
      <c r="G74" s="8" t="s">
        <v>26</v>
      </c>
      <c r="H74" s="8">
        <v>57</v>
      </c>
      <c r="I74" s="8">
        <v>29</v>
      </c>
      <c r="J74" s="8">
        <v>77</v>
      </c>
      <c r="K74" s="8">
        <v>9</v>
      </c>
      <c r="L74" s="8" t="s">
        <v>36</v>
      </c>
      <c r="M74" s="8">
        <v>6.5996139999999999</v>
      </c>
      <c r="N74" s="8" t="s">
        <v>39</v>
      </c>
      <c r="O74" s="8" t="s">
        <v>53</v>
      </c>
      <c r="P74" s="8">
        <v>21</v>
      </c>
      <c r="Q74" s="8">
        <v>152</v>
      </c>
      <c r="R74" s="8">
        <v>11</v>
      </c>
      <c r="S74" s="8">
        <v>55.760492999999997</v>
      </c>
      <c r="T74" s="8" t="s">
        <v>30</v>
      </c>
      <c r="U74" s="8">
        <v>3.21333</v>
      </c>
      <c r="V74" s="8" t="s">
        <v>47</v>
      </c>
      <c r="W74" s="8" t="s">
        <v>32</v>
      </c>
      <c r="X74" s="9">
        <v>677.94457</v>
      </c>
    </row>
    <row r="75" spans="1:24" x14ac:dyDescent="0.3">
      <c r="A75" s="10" t="s">
        <v>57</v>
      </c>
      <c r="B75" s="11" t="s">
        <v>127</v>
      </c>
      <c r="C75" s="11">
        <v>83.851017999999996</v>
      </c>
      <c r="D75" s="11">
        <v>41</v>
      </c>
      <c r="E75" s="11">
        <v>375</v>
      </c>
      <c r="F75" s="11">
        <v>7910.8869160000004</v>
      </c>
      <c r="G75" s="11" t="s">
        <v>55</v>
      </c>
      <c r="H75" s="11">
        <v>17</v>
      </c>
      <c r="I75" s="11">
        <v>25</v>
      </c>
      <c r="J75" s="11">
        <v>66</v>
      </c>
      <c r="K75" s="11">
        <v>5</v>
      </c>
      <c r="L75" s="11" t="s">
        <v>27</v>
      </c>
      <c r="M75" s="11">
        <v>1.512937</v>
      </c>
      <c r="N75" s="11" t="s">
        <v>52</v>
      </c>
      <c r="O75" s="11" t="s">
        <v>62</v>
      </c>
      <c r="P75" s="11">
        <v>13</v>
      </c>
      <c r="Q75" s="11">
        <v>444</v>
      </c>
      <c r="R75" s="11">
        <v>4</v>
      </c>
      <c r="S75" s="11">
        <v>46.870238999999998</v>
      </c>
      <c r="T75" s="11" t="s">
        <v>46</v>
      </c>
      <c r="U75" s="11">
        <v>4.620546</v>
      </c>
      <c r="V75" s="11" t="s">
        <v>31</v>
      </c>
      <c r="W75" s="11" t="s">
        <v>48</v>
      </c>
      <c r="X75" s="12">
        <v>866.47280000000001</v>
      </c>
    </row>
    <row r="76" spans="1:24" x14ac:dyDescent="0.3">
      <c r="A76" s="7" t="s">
        <v>24</v>
      </c>
      <c r="B76" s="8" t="s">
        <v>128</v>
      </c>
      <c r="C76" s="8">
        <v>3.1700110000000001</v>
      </c>
      <c r="D76" s="8">
        <v>64</v>
      </c>
      <c r="E76" s="8">
        <v>904</v>
      </c>
      <c r="F76" s="8">
        <v>5709.9452959999999</v>
      </c>
      <c r="G76" s="8" t="s">
        <v>35</v>
      </c>
      <c r="H76" s="8">
        <v>41</v>
      </c>
      <c r="I76" s="8">
        <v>6</v>
      </c>
      <c r="J76" s="8">
        <v>1</v>
      </c>
      <c r="K76" s="8">
        <v>5</v>
      </c>
      <c r="L76" s="8" t="s">
        <v>36</v>
      </c>
      <c r="M76" s="8">
        <v>5.2376550000000002</v>
      </c>
      <c r="N76" s="8" t="s">
        <v>52</v>
      </c>
      <c r="O76" s="8" t="s">
        <v>50</v>
      </c>
      <c r="P76" s="8">
        <v>1</v>
      </c>
      <c r="Q76" s="8">
        <v>919</v>
      </c>
      <c r="R76" s="8">
        <v>9</v>
      </c>
      <c r="S76" s="8">
        <v>80.580851999999993</v>
      </c>
      <c r="T76" s="8" t="s">
        <v>46</v>
      </c>
      <c r="U76" s="8">
        <v>0.39661299999999999</v>
      </c>
      <c r="V76" s="8" t="s">
        <v>47</v>
      </c>
      <c r="W76" s="8" t="s">
        <v>48</v>
      </c>
      <c r="X76" s="9">
        <v>341.55265700000001</v>
      </c>
    </row>
    <row r="77" spans="1:24" x14ac:dyDescent="0.3">
      <c r="A77" s="10" t="s">
        <v>33</v>
      </c>
      <c r="B77" s="11" t="s">
        <v>129</v>
      </c>
      <c r="C77" s="11">
        <v>92.996883999999994</v>
      </c>
      <c r="D77" s="11">
        <v>29</v>
      </c>
      <c r="E77" s="11">
        <v>106</v>
      </c>
      <c r="F77" s="11">
        <v>1889.07359</v>
      </c>
      <c r="G77" s="11" t="s">
        <v>26</v>
      </c>
      <c r="H77" s="11">
        <v>16</v>
      </c>
      <c r="I77" s="11">
        <v>20</v>
      </c>
      <c r="J77" s="11">
        <v>56</v>
      </c>
      <c r="K77" s="11">
        <v>10</v>
      </c>
      <c r="L77" s="11" t="s">
        <v>43</v>
      </c>
      <c r="M77" s="11">
        <v>2.4738980000000002</v>
      </c>
      <c r="N77" s="11" t="s">
        <v>39</v>
      </c>
      <c r="O77" s="11" t="s">
        <v>62</v>
      </c>
      <c r="P77" s="11">
        <v>25</v>
      </c>
      <c r="Q77" s="11">
        <v>759</v>
      </c>
      <c r="R77" s="11">
        <v>11</v>
      </c>
      <c r="S77" s="11">
        <v>48.064782999999998</v>
      </c>
      <c r="T77" s="11" t="s">
        <v>64</v>
      </c>
      <c r="U77" s="11">
        <v>2.0300690000000001</v>
      </c>
      <c r="V77" s="11" t="s">
        <v>40</v>
      </c>
      <c r="W77" s="11" t="s">
        <v>41</v>
      </c>
      <c r="X77" s="12">
        <v>873.12964799999997</v>
      </c>
    </row>
    <row r="78" spans="1:24" x14ac:dyDescent="0.3">
      <c r="A78" s="7" t="s">
        <v>24</v>
      </c>
      <c r="B78" s="8" t="s">
        <v>130</v>
      </c>
      <c r="C78" s="8">
        <v>69.108800000000002</v>
      </c>
      <c r="D78" s="8">
        <v>23</v>
      </c>
      <c r="E78" s="8">
        <v>241</v>
      </c>
      <c r="F78" s="8">
        <v>5328.3759840000002</v>
      </c>
      <c r="G78" s="8" t="s">
        <v>55</v>
      </c>
      <c r="H78" s="8">
        <v>38</v>
      </c>
      <c r="I78" s="8">
        <v>1</v>
      </c>
      <c r="J78" s="8">
        <v>22</v>
      </c>
      <c r="K78" s="8">
        <v>10</v>
      </c>
      <c r="L78" s="8" t="s">
        <v>36</v>
      </c>
      <c r="M78" s="8">
        <v>7.054538</v>
      </c>
      <c r="N78" s="8" t="s">
        <v>61</v>
      </c>
      <c r="O78" s="8" t="s">
        <v>53</v>
      </c>
      <c r="P78" s="8">
        <v>25</v>
      </c>
      <c r="Q78" s="8">
        <v>985</v>
      </c>
      <c r="R78" s="8">
        <v>24</v>
      </c>
      <c r="S78" s="8">
        <v>64.323598000000004</v>
      </c>
      <c r="T78" s="8" t="s">
        <v>30</v>
      </c>
      <c r="U78" s="8">
        <v>2.180037</v>
      </c>
      <c r="V78" s="8" t="s">
        <v>47</v>
      </c>
      <c r="W78" s="8" t="s">
        <v>48</v>
      </c>
      <c r="X78" s="9">
        <v>997.41345000000001</v>
      </c>
    </row>
    <row r="79" spans="1:24" x14ac:dyDescent="0.3">
      <c r="A79" s="10" t="s">
        <v>24</v>
      </c>
      <c r="B79" s="11" t="s">
        <v>131</v>
      </c>
      <c r="C79" s="11">
        <v>57.449742999999998</v>
      </c>
      <c r="D79" s="11">
        <v>14</v>
      </c>
      <c r="E79" s="11">
        <v>359</v>
      </c>
      <c r="F79" s="11">
        <v>2483.760178</v>
      </c>
      <c r="G79" s="11" t="s">
        <v>38</v>
      </c>
      <c r="H79" s="11">
        <v>96</v>
      </c>
      <c r="I79" s="11">
        <v>28</v>
      </c>
      <c r="J79" s="11">
        <v>57</v>
      </c>
      <c r="K79" s="11">
        <v>4</v>
      </c>
      <c r="L79" s="11" t="s">
        <v>27</v>
      </c>
      <c r="M79" s="11">
        <v>6.7809470000000003</v>
      </c>
      <c r="N79" s="11" t="s">
        <v>39</v>
      </c>
      <c r="O79" s="11" t="s">
        <v>45</v>
      </c>
      <c r="P79" s="11">
        <v>26</v>
      </c>
      <c r="Q79" s="11">
        <v>334</v>
      </c>
      <c r="R79" s="11">
        <v>5</v>
      </c>
      <c r="S79" s="11">
        <v>42.952444999999997</v>
      </c>
      <c r="T79" s="11" t="s">
        <v>64</v>
      </c>
      <c r="U79" s="11">
        <v>3.055142</v>
      </c>
      <c r="V79" s="11" t="s">
        <v>31</v>
      </c>
      <c r="W79" s="11" t="s">
        <v>32</v>
      </c>
      <c r="X79" s="12">
        <v>852.56809899999996</v>
      </c>
    </row>
    <row r="80" spans="1:24" x14ac:dyDescent="0.3">
      <c r="A80" s="7" t="s">
        <v>24</v>
      </c>
      <c r="B80" s="8" t="s">
        <v>132</v>
      </c>
      <c r="C80" s="8">
        <v>6.306883</v>
      </c>
      <c r="D80" s="8">
        <v>50</v>
      </c>
      <c r="E80" s="8">
        <v>946</v>
      </c>
      <c r="F80" s="8">
        <v>1292.4584179999999</v>
      </c>
      <c r="G80" s="8" t="s">
        <v>38</v>
      </c>
      <c r="H80" s="8">
        <v>5</v>
      </c>
      <c r="I80" s="8">
        <v>4</v>
      </c>
      <c r="J80" s="8">
        <v>51</v>
      </c>
      <c r="K80" s="8">
        <v>5</v>
      </c>
      <c r="L80" s="8" t="s">
        <v>27</v>
      </c>
      <c r="M80" s="8">
        <v>8.4670500000000004</v>
      </c>
      <c r="N80" s="8" t="s">
        <v>44</v>
      </c>
      <c r="O80" s="8" t="s">
        <v>29</v>
      </c>
      <c r="P80" s="8">
        <v>25</v>
      </c>
      <c r="Q80" s="8">
        <v>858</v>
      </c>
      <c r="R80" s="8">
        <v>21</v>
      </c>
      <c r="S80" s="8">
        <v>71.126514999999998</v>
      </c>
      <c r="T80" s="8" t="s">
        <v>30</v>
      </c>
      <c r="U80" s="8">
        <v>4.0968809999999998</v>
      </c>
      <c r="V80" s="8" t="s">
        <v>56</v>
      </c>
      <c r="W80" s="8" t="s">
        <v>41</v>
      </c>
      <c r="X80" s="9">
        <v>323.59220299999998</v>
      </c>
    </row>
    <row r="81" spans="1:24" x14ac:dyDescent="0.3">
      <c r="A81" s="10" t="s">
        <v>24</v>
      </c>
      <c r="B81" s="11" t="s">
        <v>133</v>
      </c>
      <c r="C81" s="11">
        <v>57.057031000000002</v>
      </c>
      <c r="D81" s="11">
        <v>56</v>
      </c>
      <c r="E81" s="11">
        <v>198</v>
      </c>
      <c r="F81" s="11">
        <v>7888.7232679999997</v>
      </c>
      <c r="G81" s="11" t="s">
        <v>26</v>
      </c>
      <c r="H81" s="11">
        <v>31</v>
      </c>
      <c r="I81" s="11">
        <v>25</v>
      </c>
      <c r="J81" s="11">
        <v>20</v>
      </c>
      <c r="K81" s="11">
        <v>1</v>
      </c>
      <c r="L81" s="11" t="s">
        <v>27</v>
      </c>
      <c r="M81" s="11">
        <v>6.4963249999999997</v>
      </c>
      <c r="N81" s="11" t="s">
        <v>28</v>
      </c>
      <c r="O81" s="11" t="s">
        <v>53</v>
      </c>
      <c r="P81" s="11">
        <v>5</v>
      </c>
      <c r="Q81" s="11">
        <v>228</v>
      </c>
      <c r="R81" s="11">
        <v>12</v>
      </c>
      <c r="S81" s="11">
        <v>57.870902999999998</v>
      </c>
      <c r="T81" s="11" t="s">
        <v>30</v>
      </c>
      <c r="U81" s="11">
        <v>0.16587199999999999</v>
      </c>
      <c r="V81" s="11" t="s">
        <v>40</v>
      </c>
      <c r="W81" s="11" t="s">
        <v>41</v>
      </c>
      <c r="X81" s="12">
        <v>351.50421899999998</v>
      </c>
    </row>
    <row r="82" spans="1:24" x14ac:dyDescent="0.3">
      <c r="A82" s="7" t="s">
        <v>33</v>
      </c>
      <c r="B82" s="8" t="s">
        <v>134</v>
      </c>
      <c r="C82" s="8">
        <v>91.128317999999993</v>
      </c>
      <c r="D82" s="8">
        <v>75</v>
      </c>
      <c r="E82" s="8">
        <v>872</v>
      </c>
      <c r="F82" s="8">
        <v>8651.6726830000007</v>
      </c>
      <c r="G82" s="8" t="s">
        <v>38</v>
      </c>
      <c r="H82" s="8">
        <v>39</v>
      </c>
      <c r="I82" s="8">
        <v>14</v>
      </c>
      <c r="J82" s="8">
        <v>41</v>
      </c>
      <c r="K82" s="8">
        <v>2</v>
      </c>
      <c r="L82" s="8" t="s">
        <v>43</v>
      </c>
      <c r="M82" s="8">
        <v>2.8331849999999998</v>
      </c>
      <c r="N82" s="8" t="s">
        <v>28</v>
      </c>
      <c r="O82" s="8" t="s">
        <v>62</v>
      </c>
      <c r="P82" s="8">
        <v>8</v>
      </c>
      <c r="Q82" s="8">
        <v>202</v>
      </c>
      <c r="R82" s="8">
        <v>5</v>
      </c>
      <c r="S82" s="8">
        <v>76.961228000000006</v>
      </c>
      <c r="T82" s="8" t="s">
        <v>46</v>
      </c>
      <c r="U82" s="8">
        <v>2.8496619999999999</v>
      </c>
      <c r="V82" s="8" t="s">
        <v>56</v>
      </c>
      <c r="W82" s="8" t="s">
        <v>32</v>
      </c>
      <c r="X82" s="9">
        <v>787.77985000000001</v>
      </c>
    </row>
    <row r="83" spans="1:24" x14ac:dyDescent="0.3">
      <c r="A83" s="10" t="s">
        <v>24</v>
      </c>
      <c r="B83" s="11" t="s">
        <v>135</v>
      </c>
      <c r="C83" s="11">
        <v>72.819207000000006</v>
      </c>
      <c r="D83" s="11">
        <v>9</v>
      </c>
      <c r="E83" s="11">
        <v>774</v>
      </c>
      <c r="F83" s="11">
        <v>4384.4134000000004</v>
      </c>
      <c r="G83" s="11" t="s">
        <v>38</v>
      </c>
      <c r="H83" s="11">
        <v>48</v>
      </c>
      <c r="I83" s="11">
        <v>6</v>
      </c>
      <c r="J83" s="11">
        <v>8</v>
      </c>
      <c r="K83" s="11">
        <v>5</v>
      </c>
      <c r="L83" s="11" t="s">
        <v>27</v>
      </c>
      <c r="M83" s="11">
        <v>4.0662779999999996</v>
      </c>
      <c r="N83" s="11" t="s">
        <v>28</v>
      </c>
      <c r="O83" s="11" t="s">
        <v>50</v>
      </c>
      <c r="P83" s="11">
        <v>28</v>
      </c>
      <c r="Q83" s="11">
        <v>698</v>
      </c>
      <c r="R83" s="11">
        <v>1</v>
      </c>
      <c r="S83" s="11">
        <v>19.789593</v>
      </c>
      <c r="T83" s="11" t="s">
        <v>30</v>
      </c>
      <c r="U83" s="11">
        <v>2.5475469999999998</v>
      </c>
      <c r="V83" s="11" t="s">
        <v>47</v>
      </c>
      <c r="W83" s="11" t="s">
        <v>32</v>
      </c>
      <c r="X83" s="12">
        <v>276.77833600000002</v>
      </c>
    </row>
    <row r="84" spans="1:24" x14ac:dyDescent="0.3">
      <c r="A84" s="7" t="s">
        <v>33</v>
      </c>
      <c r="B84" s="8" t="s">
        <v>136</v>
      </c>
      <c r="C84" s="8">
        <v>17.034931</v>
      </c>
      <c r="D84" s="8">
        <v>13</v>
      </c>
      <c r="E84" s="8">
        <v>336</v>
      </c>
      <c r="F84" s="8">
        <v>2943.3818679999999</v>
      </c>
      <c r="G84" s="8" t="s">
        <v>38</v>
      </c>
      <c r="H84" s="8">
        <v>42</v>
      </c>
      <c r="I84" s="8">
        <v>19</v>
      </c>
      <c r="J84" s="8">
        <v>72</v>
      </c>
      <c r="K84" s="8">
        <v>1</v>
      </c>
      <c r="L84" s="8" t="s">
        <v>36</v>
      </c>
      <c r="M84" s="8">
        <v>4.7081819999999999</v>
      </c>
      <c r="N84" s="8" t="s">
        <v>61</v>
      </c>
      <c r="O84" s="8" t="s">
        <v>29</v>
      </c>
      <c r="P84" s="8">
        <v>6</v>
      </c>
      <c r="Q84" s="8">
        <v>955</v>
      </c>
      <c r="R84" s="8">
        <v>26</v>
      </c>
      <c r="S84" s="8">
        <v>4.4652779999999996</v>
      </c>
      <c r="T84" s="8" t="s">
        <v>30</v>
      </c>
      <c r="U84" s="8">
        <v>4.1378769999999996</v>
      </c>
      <c r="V84" s="8" t="s">
        <v>31</v>
      </c>
      <c r="W84" s="8" t="s">
        <v>41</v>
      </c>
      <c r="X84" s="9">
        <v>589.97855600000003</v>
      </c>
    </row>
    <row r="85" spans="1:24" x14ac:dyDescent="0.3">
      <c r="A85" s="10" t="s">
        <v>24</v>
      </c>
      <c r="B85" s="11" t="s">
        <v>137</v>
      </c>
      <c r="C85" s="11">
        <v>68.911246000000006</v>
      </c>
      <c r="D85" s="11">
        <v>82</v>
      </c>
      <c r="E85" s="11">
        <v>663</v>
      </c>
      <c r="F85" s="11">
        <v>2411.7546320000001</v>
      </c>
      <c r="G85" s="11" t="s">
        <v>38</v>
      </c>
      <c r="H85" s="11">
        <v>65</v>
      </c>
      <c r="I85" s="11">
        <v>24</v>
      </c>
      <c r="J85" s="11">
        <v>7</v>
      </c>
      <c r="K85" s="11">
        <v>8</v>
      </c>
      <c r="L85" s="11" t="s">
        <v>27</v>
      </c>
      <c r="M85" s="11">
        <v>4.94984</v>
      </c>
      <c r="N85" s="11" t="s">
        <v>39</v>
      </c>
      <c r="O85" s="11" t="s">
        <v>53</v>
      </c>
      <c r="P85" s="11">
        <v>20</v>
      </c>
      <c r="Q85" s="11">
        <v>443</v>
      </c>
      <c r="R85" s="11">
        <v>5</v>
      </c>
      <c r="S85" s="11">
        <v>97.730593999999996</v>
      </c>
      <c r="T85" s="11" t="s">
        <v>46</v>
      </c>
      <c r="U85" s="11">
        <v>0.77300599999999997</v>
      </c>
      <c r="V85" s="11" t="s">
        <v>31</v>
      </c>
      <c r="W85" s="11" t="s">
        <v>48</v>
      </c>
      <c r="X85" s="12">
        <v>682.97101799999996</v>
      </c>
    </row>
    <row r="86" spans="1:24" x14ac:dyDescent="0.3">
      <c r="A86" s="7" t="s">
        <v>24</v>
      </c>
      <c r="B86" s="8" t="s">
        <v>138</v>
      </c>
      <c r="C86" s="8">
        <v>89.104366999999996</v>
      </c>
      <c r="D86" s="8">
        <v>99</v>
      </c>
      <c r="E86" s="8">
        <v>618</v>
      </c>
      <c r="F86" s="8">
        <v>2048.2901000000002</v>
      </c>
      <c r="G86" s="8" t="s">
        <v>38</v>
      </c>
      <c r="H86" s="8">
        <v>73</v>
      </c>
      <c r="I86" s="8">
        <v>26</v>
      </c>
      <c r="J86" s="8">
        <v>80</v>
      </c>
      <c r="K86" s="8">
        <v>10</v>
      </c>
      <c r="L86" s="8" t="s">
        <v>36</v>
      </c>
      <c r="M86" s="8">
        <v>8.3816159999999993</v>
      </c>
      <c r="N86" s="8" t="s">
        <v>44</v>
      </c>
      <c r="O86" s="8" t="s">
        <v>62</v>
      </c>
      <c r="P86" s="8">
        <v>24</v>
      </c>
      <c r="Q86" s="8">
        <v>589</v>
      </c>
      <c r="R86" s="8">
        <v>22</v>
      </c>
      <c r="S86" s="8">
        <v>33.808636999999997</v>
      </c>
      <c r="T86" s="8" t="s">
        <v>64</v>
      </c>
      <c r="U86" s="8">
        <v>4.8434569999999999</v>
      </c>
      <c r="V86" s="8" t="s">
        <v>40</v>
      </c>
      <c r="W86" s="8" t="s">
        <v>32</v>
      </c>
      <c r="X86" s="9">
        <v>465.45700599999998</v>
      </c>
    </row>
    <row r="87" spans="1:24" x14ac:dyDescent="0.3">
      <c r="A87" s="10" t="s">
        <v>57</v>
      </c>
      <c r="B87" s="11" t="s">
        <v>139</v>
      </c>
      <c r="C87" s="11">
        <v>76.962993999999995</v>
      </c>
      <c r="D87" s="11">
        <v>83</v>
      </c>
      <c r="E87" s="11">
        <v>25</v>
      </c>
      <c r="F87" s="11">
        <v>8684.6130589999993</v>
      </c>
      <c r="G87" s="11" t="s">
        <v>35</v>
      </c>
      <c r="H87" s="11">
        <v>15</v>
      </c>
      <c r="I87" s="11">
        <v>18</v>
      </c>
      <c r="J87" s="11">
        <v>66</v>
      </c>
      <c r="K87" s="11">
        <v>2</v>
      </c>
      <c r="L87" s="11" t="s">
        <v>43</v>
      </c>
      <c r="M87" s="11">
        <v>8.2491690000000002</v>
      </c>
      <c r="N87" s="11" t="s">
        <v>44</v>
      </c>
      <c r="O87" s="11" t="s">
        <v>62</v>
      </c>
      <c r="P87" s="11">
        <v>4</v>
      </c>
      <c r="Q87" s="11">
        <v>211</v>
      </c>
      <c r="R87" s="11">
        <v>2</v>
      </c>
      <c r="S87" s="11">
        <v>69.929345999999995</v>
      </c>
      <c r="T87" s="11" t="s">
        <v>46</v>
      </c>
      <c r="U87" s="11">
        <v>1.3744289999999999</v>
      </c>
      <c r="V87" s="11" t="s">
        <v>31</v>
      </c>
      <c r="W87" s="11" t="s">
        <v>32</v>
      </c>
      <c r="X87" s="12">
        <v>842.68682999999999</v>
      </c>
    </row>
    <row r="88" spans="1:24" x14ac:dyDescent="0.3">
      <c r="A88" s="7" t="s">
        <v>33</v>
      </c>
      <c r="B88" s="8" t="s">
        <v>140</v>
      </c>
      <c r="C88" s="8">
        <v>19.998176999999998</v>
      </c>
      <c r="D88" s="8">
        <v>18</v>
      </c>
      <c r="E88" s="8">
        <v>223</v>
      </c>
      <c r="F88" s="8">
        <v>1229.5910289999999</v>
      </c>
      <c r="G88" s="8" t="s">
        <v>38</v>
      </c>
      <c r="H88" s="8">
        <v>32</v>
      </c>
      <c r="I88" s="8">
        <v>14</v>
      </c>
      <c r="J88" s="8">
        <v>22</v>
      </c>
      <c r="K88" s="8">
        <v>6</v>
      </c>
      <c r="L88" s="8" t="s">
        <v>27</v>
      </c>
      <c r="M88" s="8">
        <v>1.454305</v>
      </c>
      <c r="N88" s="8" t="s">
        <v>39</v>
      </c>
      <c r="O88" s="8" t="s">
        <v>29</v>
      </c>
      <c r="P88" s="8">
        <v>4</v>
      </c>
      <c r="Q88" s="8">
        <v>569</v>
      </c>
      <c r="R88" s="8">
        <v>18</v>
      </c>
      <c r="S88" s="8">
        <v>74.608969999999999</v>
      </c>
      <c r="T88" s="8" t="s">
        <v>64</v>
      </c>
      <c r="U88" s="8">
        <v>2.0515129999999999</v>
      </c>
      <c r="V88" s="8" t="s">
        <v>47</v>
      </c>
      <c r="W88" s="8" t="s">
        <v>48</v>
      </c>
      <c r="X88" s="9">
        <v>264.25488999999999</v>
      </c>
    </row>
    <row r="89" spans="1:24" x14ac:dyDescent="0.3">
      <c r="A89" s="10" t="s">
        <v>24</v>
      </c>
      <c r="B89" s="11" t="s">
        <v>141</v>
      </c>
      <c r="C89" s="11">
        <v>80.414036999999993</v>
      </c>
      <c r="D89" s="11">
        <v>24</v>
      </c>
      <c r="E89" s="11">
        <v>79</v>
      </c>
      <c r="F89" s="11">
        <v>5133.8467010000004</v>
      </c>
      <c r="G89" s="11" t="s">
        <v>55</v>
      </c>
      <c r="H89" s="11">
        <v>5</v>
      </c>
      <c r="I89" s="11">
        <v>7</v>
      </c>
      <c r="J89" s="11">
        <v>55</v>
      </c>
      <c r="K89" s="11">
        <v>10</v>
      </c>
      <c r="L89" s="11" t="s">
        <v>36</v>
      </c>
      <c r="M89" s="11">
        <v>6.5758039999999998</v>
      </c>
      <c r="N89" s="11" t="s">
        <v>28</v>
      </c>
      <c r="O89" s="11" t="s">
        <v>62</v>
      </c>
      <c r="P89" s="11">
        <v>27</v>
      </c>
      <c r="Q89" s="11">
        <v>523</v>
      </c>
      <c r="R89" s="11">
        <v>17</v>
      </c>
      <c r="S89" s="11">
        <v>28.696997</v>
      </c>
      <c r="T89" s="11" t="s">
        <v>46</v>
      </c>
      <c r="U89" s="11">
        <v>3.6937380000000002</v>
      </c>
      <c r="V89" s="11" t="s">
        <v>56</v>
      </c>
      <c r="W89" s="11" t="s">
        <v>32</v>
      </c>
      <c r="X89" s="12">
        <v>879.35921800000006</v>
      </c>
    </row>
    <row r="90" spans="1:24" x14ac:dyDescent="0.3">
      <c r="A90" s="7" t="s">
        <v>57</v>
      </c>
      <c r="B90" s="8" t="s">
        <v>142</v>
      </c>
      <c r="C90" s="8">
        <v>75.270407000000006</v>
      </c>
      <c r="D90" s="8">
        <v>58</v>
      </c>
      <c r="E90" s="8">
        <v>737</v>
      </c>
      <c r="F90" s="8">
        <v>9444.7420330000004</v>
      </c>
      <c r="G90" s="8" t="s">
        <v>55</v>
      </c>
      <c r="H90" s="8">
        <v>60</v>
      </c>
      <c r="I90" s="8">
        <v>18</v>
      </c>
      <c r="J90" s="8">
        <v>85</v>
      </c>
      <c r="K90" s="8">
        <v>7</v>
      </c>
      <c r="L90" s="8" t="s">
        <v>36</v>
      </c>
      <c r="M90" s="8">
        <v>3.801253</v>
      </c>
      <c r="N90" s="8" t="s">
        <v>61</v>
      </c>
      <c r="O90" s="8" t="s">
        <v>29</v>
      </c>
      <c r="P90" s="8">
        <v>21</v>
      </c>
      <c r="Q90" s="8">
        <v>953</v>
      </c>
      <c r="R90" s="8">
        <v>11</v>
      </c>
      <c r="S90" s="8">
        <v>68.184918999999994</v>
      </c>
      <c r="T90" s="8" t="s">
        <v>30</v>
      </c>
      <c r="U90" s="8">
        <v>0.72220399999999996</v>
      </c>
      <c r="V90" s="8" t="s">
        <v>56</v>
      </c>
      <c r="W90" s="8" t="s">
        <v>48</v>
      </c>
      <c r="X90" s="9">
        <v>103.916248</v>
      </c>
    </row>
    <row r="91" spans="1:24" x14ac:dyDescent="0.3">
      <c r="A91" s="10" t="s">
        <v>57</v>
      </c>
      <c r="B91" s="11" t="s">
        <v>143</v>
      </c>
      <c r="C91" s="11">
        <v>97.760086000000001</v>
      </c>
      <c r="D91" s="11">
        <v>10</v>
      </c>
      <c r="E91" s="11">
        <v>134</v>
      </c>
      <c r="F91" s="11">
        <v>5924.6825669999998</v>
      </c>
      <c r="G91" s="11" t="s">
        <v>38</v>
      </c>
      <c r="H91" s="11">
        <v>90</v>
      </c>
      <c r="I91" s="11">
        <v>1</v>
      </c>
      <c r="J91" s="11">
        <v>27</v>
      </c>
      <c r="K91" s="11">
        <v>8</v>
      </c>
      <c r="L91" s="11" t="s">
        <v>27</v>
      </c>
      <c r="M91" s="11">
        <v>9.9298160000000006</v>
      </c>
      <c r="N91" s="11" t="s">
        <v>39</v>
      </c>
      <c r="O91" s="11" t="s">
        <v>45</v>
      </c>
      <c r="P91" s="11">
        <v>23</v>
      </c>
      <c r="Q91" s="11">
        <v>370</v>
      </c>
      <c r="R91" s="11">
        <v>11</v>
      </c>
      <c r="S91" s="11">
        <v>46.603873</v>
      </c>
      <c r="T91" s="11" t="s">
        <v>30</v>
      </c>
      <c r="U91" s="11">
        <v>1.9076660000000001</v>
      </c>
      <c r="V91" s="11" t="s">
        <v>47</v>
      </c>
      <c r="W91" s="11" t="s">
        <v>32</v>
      </c>
      <c r="X91" s="12">
        <v>517.49997399999995</v>
      </c>
    </row>
    <row r="92" spans="1:24" x14ac:dyDescent="0.3">
      <c r="A92" s="7" t="s">
        <v>33</v>
      </c>
      <c r="B92" s="8" t="s">
        <v>144</v>
      </c>
      <c r="C92" s="8">
        <v>13.881914</v>
      </c>
      <c r="D92" s="8">
        <v>56</v>
      </c>
      <c r="E92" s="8">
        <v>320</v>
      </c>
      <c r="F92" s="8">
        <v>9592.63357</v>
      </c>
      <c r="G92" s="8" t="s">
        <v>26</v>
      </c>
      <c r="H92" s="8">
        <v>66</v>
      </c>
      <c r="I92" s="8">
        <v>18</v>
      </c>
      <c r="J92" s="8">
        <v>96</v>
      </c>
      <c r="K92" s="8">
        <v>7</v>
      </c>
      <c r="L92" s="8" t="s">
        <v>27</v>
      </c>
      <c r="M92" s="8">
        <v>7.6744310000000002</v>
      </c>
      <c r="N92" s="8" t="s">
        <v>28</v>
      </c>
      <c r="O92" s="8" t="s">
        <v>53</v>
      </c>
      <c r="P92" s="8">
        <v>8</v>
      </c>
      <c r="Q92" s="8">
        <v>585</v>
      </c>
      <c r="R92" s="8">
        <v>8</v>
      </c>
      <c r="S92" s="8">
        <v>85.675962999999996</v>
      </c>
      <c r="T92" s="8" t="s">
        <v>64</v>
      </c>
      <c r="U92" s="8">
        <v>1.219382</v>
      </c>
      <c r="V92" s="8" t="s">
        <v>47</v>
      </c>
      <c r="W92" s="8" t="s">
        <v>32</v>
      </c>
      <c r="X92" s="9">
        <v>990.07847300000003</v>
      </c>
    </row>
    <row r="93" spans="1:24" x14ac:dyDescent="0.3">
      <c r="A93" s="10" t="s">
        <v>57</v>
      </c>
      <c r="B93" s="11" t="s">
        <v>145</v>
      </c>
      <c r="C93" s="11">
        <v>62.111964999999998</v>
      </c>
      <c r="D93" s="11">
        <v>90</v>
      </c>
      <c r="E93" s="11">
        <v>916</v>
      </c>
      <c r="F93" s="11">
        <v>1935.2067939999999</v>
      </c>
      <c r="G93" s="11" t="s">
        <v>55</v>
      </c>
      <c r="H93" s="11">
        <v>98</v>
      </c>
      <c r="I93" s="11">
        <v>22</v>
      </c>
      <c r="J93" s="11">
        <v>85</v>
      </c>
      <c r="K93" s="11">
        <v>7</v>
      </c>
      <c r="L93" s="11" t="s">
        <v>27</v>
      </c>
      <c r="M93" s="11">
        <v>7.471514</v>
      </c>
      <c r="N93" s="11" t="s">
        <v>52</v>
      </c>
      <c r="O93" s="11" t="s">
        <v>50</v>
      </c>
      <c r="P93" s="11">
        <v>5</v>
      </c>
      <c r="Q93" s="11">
        <v>207</v>
      </c>
      <c r="R93" s="11">
        <v>28</v>
      </c>
      <c r="S93" s="11">
        <v>39.772883</v>
      </c>
      <c r="T93" s="11" t="s">
        <v>30</v>
      </c>
      <c r="U93" s="11">
        <v>0.62600199999999995</v>
      </c>
      <c r="V93" s="11" t="s">
        <v>47</v>
      </c>
      <c r="W93" s="11" t="s">
        <v>32</v>
      </c>
      <c r="X93" s="12">
        <v>996.77831500000002</v>
      </c>
    </row>
    <row r="94" spans="1:24" x14ac:dyDescent="0.3">
      <c r="A94" s="7" t="s">
        <v>57</v>
      </c>
      <c r="B94" s="8" t="s">
        <v>146</v>
      </c>
      <c r="C94" s="8">
        <v>47.714233</v>
      </c>
      <c r="D94" s="8">
        <v>44</v>
      </c>
      <c r="E94" s="8">
        <v>276</v>
      </c>
      <c r="F94" s="8">
        <v>2100.1297549999999</v>
      </c>
      <c r="G94" s="8" t="s">
        <v>55</v>
      </c>
      <c r="H94" s="8">
        <v>90</v>
      </c>
      <c r="I94" s="8">
        <v>25</v>
      </c>
      <c r="J94" s="8">
        <v>10</v>
      </c>
      <c r="K94" s="8">
        <v>8</v>
      </c>
      <c r="L94" s="8" t="s">
        <v>27</v>
      </c>
      <c r="M94" s="8">
        <v>4.4695</v>
      </c>
      <c r="N94" s="8" t="s">
        <v>61</v>
      </c>
      <c r="O94" s="8" t="s">
        <v>29</v>
      </c>
      <c r="P94" s="8">
        <v>4</v>
      </c>
      <c r="Q94" s="8">
        <v>671</v>
      </c>
      <c r="R94" s="8">
        <v>29</v>
      </c>
      <c r="S94" s="8">
        <v>62.612690000000001</v>
      </c>
      <c r="T94" s="8" t="s">
        <v>64</v>
      </c>
      <c r="U94" s="8">
        <v>0.33343200000000001</v>
      </c>
      <c r="V94" s="8" t="s">
        <v>47</v>
      </c>
      <c r="W94" s="8" t="s">
        <v>32</v>
      </c>
      <c r="X94" s="9">
        <v>230.092783</v>
      </c>
    </row>
    <row r="95" spans="1:24" x14ac:dyDescent="0.3">
      <c r="A95" s="10" t="s">
        <v>24</v>
      </c>
      <c r="B95" s="11" t="s">
        <v>147</v>
      </c>
      <c r="C95" s="11">
        <v>69.290830999999997</v>
      </c>
      <c r="D95" s="11">
        <v>88</v>
      </c>
      <c r="E95" s="11">
        <v>114</v>
      </c>
      <c r="F95" s="11">
        <v>4531.4021339999999</v>
      </c>
      <c r="G95" s="11" t="s">
        <v>38</v>
      </c>
      <c r="H95" s="11">
        <v>63</v>
      </c>
      <c r="I95" s="11">
        <v>17</v>
      </c>
      <c r="J95" s="11">
        <v>66</v>
      </c>
      <c r="K95" s="11">
        <v>1</v>
      </c>
      <c r="L95" s="11" t="s">
        <v>43</v>
      </c>
      <c r="M95" s="11">
        <v>7.0064320000000002</v>
      </c>
      <c r="N95" s="11" t="s">
        <v>52</v>
      </c>
      <c r="O95" s="11" t="s">
        <v>62</v>
      </c>
      <c r="P95" s="11">
        <v>21</v>
      </c>
      <c r="Q95" s="11">
        <v>824</v>
      </c>
      <c r="R95" s="11">
        <v>20</v>
      </c>
      <c r="S95" s="11">
        <v>35.633651999999998</v>
      </c>
      <c r="T95" s="11" t="s">
        <v>46</v>
      </c>
      <c r="U95" s="11">
        <v>4.1657820000000001</v>
      </c>
      <c r="V95" s="11" t="s">
        <v>40</v>
      </c>
      <c r="W95" s="11" t="s">
        <v>48</v>
      </c>
      <c r="X95" s="12">
        <v>823.52384600000005</v>
      </c>
    </row>
    <row r="96" spans="1:24" x14ac:dyDescent="0.3">
      <c r="A96" s="7" t="s">
        <v>57</v>
      </c>
      <c r="B96" s="8" t="s">
        <v>148</v>
      </c>
      <c r="C96" s="8">
        <v>3.0376889999999999</v>
      </c>
      <c r="D96" s="8">
        <v>97</v>
      </c>
      <c r="E96" s="8">
        <v>987</v>
      </c>
      <c r="F96" s="8">
        <v>7888.3565470000003</v>
      </c>
      <c r="G96" s="8" t="s">
        <v>38</v>
      </c>
      <c r="H96" s="8">
        <v>77</v>
      </c>
      <c r="I96" s="8">
        <v>26</v>
      </c>
      <c r="J96" s="8">
        <v>72</v>
      </c>
      <c r="K96" s="8">
        <v>9</v>
      </c>
      <c r="L96" s="8" t="s">
        <v>27</v>
      </c>
      <c r="M96" s="8">
        <v>6.9429460000000001</v>
      </c>
      <c r="N96" s="8" t="s">
        <v>61</v>
      </c>
      <c r="O96" s="8" t="s">
        <v>50</v>
      </c>
      <c r="P96" s="8">
        <v>12</v>
      </c>
      <c r="Q96" s="8">
        <v>908</v>
      </c>
      <c r="R96" s="8">
        <v>14</v>
      </c>
      <c r="S96" s="8">
        <v>60.387379000000003</v>
      </c>
      <c r="T96" s="8" t="s">
        <v>64</v>
      </c>
      <c r="U96" s="8">
        <v>1.4636070000000001</v>
      </c>
      <c r="V96" s="8" t="s">
        <v>47</v>
      </c>
      <c r="W96" s="8" t="s">
        <v>32</v>
      </c>
      <c r="X96" s="9">
        <v>846.665257</v>
      </c>
    </row>
    <row r="97" spans="1:24" x14ac:dyDescent="0.3">
      <c r="A97" s="10" t="s">
        <v>24</v>
      </c>
      <c r="B97" s="11" t="s">
        <v>149</v>
      </c>
      <c r="C97" s="11">
        <v>77.903926999999996</v>
      </c>
      <c r="D97" s="11">
        <v>65</v>
      </c>
      <c r="E97" s="11">
        <v>672</v>
      </c>
      <c r="F97" s="11">
        <v>7386.3639439999997</v>
      </c>
      <c r="G97" s="11" t="s">
        <v>38</v>
      </c>
      <c r="H97" s="11">
        <v>15</v>
      </c>
      <c r="I97" s="11">
        <v>14</v>
      </c>
      <c r="J97" s="11">
        <v>26</v>
      </c>
      <c r="K97" s="11">
        <v>9</v>
      </c>
      <c r="L97" s="11" t="s">
        <v>27</v>
      </c>
      <c r="M97" s="11">
        <v>8.6303389999999993</v>
      </c>
      <c r="N97" s="11" t="s">
        <v>52</v>
      </c>
      <c r="O97" s="11" t="s">
        <v>29</v>
      </c>
      <c r="P97" s="11">
        <v>18</v>
      </c>
      <c r="Q97" s="11">
        <v>450</v>
      </c>
      <c r="R97" s="11">
        <v>26</v>
      </c>
      <c r="S97" s="11">
        <v>58.890686000000002</v>
      </c>
      <c r="T97" s="11" t="s">
        <v>30</v>
      </c>
      <c r="U97" s="11">
        <v>1.210882</v>
      </c>
      <c r="V97" s="11" t="s">
        <v>40</v>
      </c>
      <c r="W97" s="11" t="s">
        <v>48</v>
      </c>
      <c r="X97" s="12">
        <v>778.86424099999999</v>
      </c>
    </row>
    <row r="98" spans="1:24" x14ac:dyDescent="0.3">
      <c r="A98" s="7" t="s">
        <v>57</v>
      </c>
      <c r="B98" s="8" t="s">
        <v>150</v>
      </c>
      <c r="C98" s="8">
        <v>24.423131000000001</v>
      </c>
      <c r="D98" s="8">
        <v>29</v>
      </c>
      <c r="E98" s="8">
        <v>324</v>
      </c>
      <c r="F98" s="8">
        <v>7698.4247660000001</v>
      </c>
      <c r="G98" s="8" t="s">
        <v>26</v>
      </c>
      <c r="H98" s="8">
        <v>67</v>
      </c>
      <c r="I98" s="8">
        <v>2</v>
      </c>
      <c r="J98" s="8">
        <v>32</v>
      </c>
      <c r="K98" s="8">
        <v>3</v>
      </c>
      <c r="L98" s="8" t="s">
        <v>43</v>
      </c>
      <c r="M98" s="8">
        <v>5.3528779999999996</v>
      </c>
      <c r="N98" s="8" t="s">
        <v>28</v>
      </c>
      <c r="O98" s="8" t="s">
        <v>29</v>
      </c>
      <c r="P98" s="8">
        <v>28</v>
      </c>
      <c r="Q98" s="8">
        <v>648</v>
      </c>
      <c r="R98" s="8">
        <v>28</v>
      </c>
      <c r="S98" s="8">
        <v>17.803756</v>
      </c>
      <c r="T98" s="8" t="s">
        <v>30</v>
      </c>
      <c r="U98" s="8">
        <v>3.8720479999999999</v>
      </c>
      <c r="V98" s="8" t="s">
        <v>31</v>
      </c>
      <c r="W98" s="8" t="s">
        <v>48</v>
      </c>
      <c r="X98" s="9">
        <v>188.742141</v>
      </c>
    </row>
    <row r="99" spans="1:24" x14ac:dyDescent="0.3">
      <c r="A99" s="10" t="s">
        <v>24</v>
      </c>
      <c r="B99" s="11" t="s">
        <v>151</v>
      </c>
      <c r="C99" s="11">
        <v>3.5261110000000002</v>
      </c>
      <c r="D99" s="11">
        <v>56</v>
      </c>
      <c r="E99" s="11">
        <v>62</v>
      </c>
      <c r="F99" s="11">
        <v>4370.9165800000001</v>
      </c>
      <c r="G99" s="11" t="s">
        <v>55</v>
      </c>
      <c r="H99" s="11">
        <v>46</v>
      </c>
      <c r="I99" s="11">
        <v>19</v>
      </c>
      <c r="J99" s="11">
        <v>4</v>
      </c>
      <c r="K99" s="11">
        <v>9</v>
      </c>
      <c r="L99" s="11" t="s">
        <v>36</v>
      </c>
      <c r="M99" s="11">
        <v>7.904846</v>
      </c>
      <c r="N99" s="11" t="s">
        <v>52</v>
      </c>
      <c r="O99" s="11" t="s">
        <v>29</v>
      </c>
      <c r="P99" s="11">
        <v>10</v>
      </c>
      <c r="Q99" s="11">
        <v>535</v>
      </c>
      <c r="R99" s="11">
        <v>13</v>
      </c>
      <c r="S99" s="11">
        <v>65.765156000000005</v>
      </c>
      <c r="T99" s="11" t="s">
        <v>46</v>
      </c>
      <c r="U99" s="11">
        <v>3.3762379999999999</v>
      </c>
      <c r="V99" s="11" t="s">
        <v>31</v>
      </c>
      <c r="W99" s="11" t="s">
        <v>48</v>
      </c>
      <c r="X99" s="12">
        <v>540.13242300000002</v>
      </c>
    </row>
    <row r="100" spans="1:24" x14ac:dyDescent="0.3">
      <c r="A100" s="7" t="s">
        <v>33</v>
      </c>
      <c r="B100" s="8" t="s">
        <v>152</v>
      </c>
      <c r="C100" s="8">
        <v>19.754605000000002</v>
      </c>
      <c r="D100" s="8">
        <v>43</v>
      </c>
      <c r="E100" s="8">
        <v>913</v>
      </c>
      <c r="F100" s="8">
        <v>8525.9525599999997</v>
      </c>
      <c r="G100" s="8" t="s">
        <v>35</v>
      </c>
      <c r="H100" s="8">
        <v>53</v>
      </c>
      <c r="I100" s="8">
        <v>1</v>
      </c>
      <c r="J100" s="8">
        <v>27</v>
      </c>
      <c r="K100" s="8">
        <v>7</v>
      </c>
      <c r="L100" s="8" t="s">
        <v>27</v>
      </c>
      <c r="M100" s="8">
        <v>1.4098010000000001</v>
      </c>
      <c r="N100" s="8" t="s">
        <v>44</v>
      </c>
      <c r="O100" s="8" t="s">
        <v>62</v>
      </c>
      <c r="P100" s="8">
        <v>28</v>
      </c>
      <c r="Q100" s="8">
        <v>581</v>
      </c>
      <c r="R100" s="8">
        <v>9</v>
      </c>
      <c r="S100" s="8">
        <v>5.6046909999999999</v>
      </c>
      <c r="T100" s="8" t="s">
        <v>30</v>
      </c>
      <c r="U100" s="8">
        <v>2.9081220000000001</v>
      </c>
      <c r="V100" s="8" t="s">
        <v>47</v>
      </c>
      <c r="W100" s="8" t="s">
        <v>48</v>
      </c>
      <c r="X100" s="9">
        <v>882.19886399999996</v>
      </c>
    </row>
    <row r="101" spans="1:24" x14ac:dyDescent="0.3">
      <c r="A101" s="2" t="s">
        <v>24</v>
      </c>
      <c r="B101" s="3" t="s">
        <v>153</v>
      </c>
      <c r="C101" s="3">
        <v>68.517832999999996</v>
      </c>
      <c r="D101" s="3">
        <v>17</v>
      </c>
      <c r="E101" s="3">
        <v>627</v>
      </c>
      <c r="F101" s="3">
        <v>9185.185829</v>
      </c>
      <c r="G101" s="3" t="s">
        <v>38</v>
      </c>
      <c r="H101" s="3">
        <v>55</v>
      </c>
      <c r="I101" s="3">
        <v>8</v>
      </c>
      <c r="J101" s="3">
        <v>59</v>
      </c>
      <c r="K101" s="3">
        <v>6</v>
      </c>
      <c r="L101" s="3" t="s">
        <v>27</v>
      </c>
      <c r="M101" s="3">
        <v>1.311024</v>
      </c>
      <c r="N101" s="3" t="s">
        <v>61</v>
      </c>
      <c r="O101" s="3" t="s">
        <v>62</v>
      </c>
      <c r="P101" s="3">
        <v>29</v>
      </c>
      <c r="Q101" s="3">
        <v>921</v>
      </c>
      <c r="R101" s="3">
        <v>2</v>
      </c>
      <c r="S101" s="3">
        <v>38.072899</v>
      </c>
      <c r="T101" s="3" t="s">
        <v>46</v>
      </c>
      <c r="U101" s="3">
        <v>0.34602699999999997</v>
      </c>
      <c r="V101" s="3" t="s">
        <v>47</v>
      </c>
      <c r="W101" s="3" t="s">
        <v>32</v>
      </c>
      <c r="X101" s="13">
        <v>210.743009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 chain 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manmathaharish k</dc:creator>
  <cp:lastModifiedBy>manmathaharish k</cp:lastModifiedBy>
  <dcterms:created xsi:type="dcterms:W3CDTF">2026-05-13T10:39:28Z</dcterms:created>
  <dcterms:modified xsi:type="dcterms:W3CDTF">2026-05-19T05:48:39Z</dcterms:modified>
</cp:coreProperties>
</file>